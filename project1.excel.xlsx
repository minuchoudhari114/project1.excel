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82ed28f1cf605b9/Desktop/minaxi/"/>
    </mc:Choice>
  </mc:AlternateContent>
  <xr:revisionPtr revIDLastSave="0" documentId="8_{34E73B96-31FD-4704-9E93-011EA74449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Grade" sheetId="2" r:id="rId1"/>
    <sheet name="Sales Data" sheetId="3" r:id="rId2"/>
    <sheet name="Employee Data" sheetId="4" r:id="rId3"/>
    <sheet name="Formula Practice" sheetId="5" r:id="rId4"/>
    <sheet name="Product Price Look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G2" i="6"/>
  <c r="G3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D6" i="6"/>
  <c r="C6" i="6"/>
  <c r="D5" i="6"/>
  <c r="C5" i="6"/>
  <c r="D4" i="6"/>
  <c r="C4" i="6"/>
  <c r="D3" i="6"/>
  <c r="C3" i="6"/>
  <c r="D2" i="6"/>
  <c r="C2" i="6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6" i="5"/>
  <c r="B34" i="5"/>
  <c r="H33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I17" i="5" a="1"/>
  <c r="H17" i="5" a="1"/>
  <c r="G17" i="5" a="1"/>
  <c r="F17" i="5" a="1"/>
  <c r="B17" i="5"/>
  <c r="B16" i="5"/>
  <c r="B15" i="5"/>
  <c r="B14" i="5"/>
  <c r="B12" i="5"/>
  <c r="B11" i="5"/>
  <c r="B10" i="5"/>
  <c r="B9" i="5"/>
  <c r="B8" i="5"/>
  <c r="B7" i="5"/>
  <c r="B6" i="5"/>
  <c r="B5" i="5"/>
  <c r="I21" i="4"/>
  <c r="H21" i="4"/>
  <c r="F21" i="4"/>
  <c r="I20" i="4"/>
  <c r="H20" i="4"/>
  <c r="F20" i="4"/>
  <c r="I19" i="4"/>
  <c r="H19" i="4"/>
  <c r="F19" i="4"/>
  <c r="I18" i="4"/>
  <c r="H18" i="4"/>
  <c r="F18" i="4"/>
  <c r="I17" i="4"/>
  <c r="H17" i="4"/>
  <c r="F17" i="4"/>
  <c r="I16" i="4"/>
  <c r="H16" i="4"/>
  <c r="F16" i="4"/>
  <c r="I15" i="4"/>
  <c r="H15" i="4"/>
  <c r="F15" i="4"/>
  <c r="I14" i="4"/>
  <c r="H14" i="4"/>
  <c r="F14" i="4"/>
  <c r="I13" i="4"/>
  <c r="H13" i="4"/>
  <c r="F13" i="4"/>
  <c r="I12" i="4"/>
  <c r="H12" i="4"/>
  <c r="F12" i="4"/>
  <c r="I11" i="4"/>
  <c r="H11" i="4"/>
  <c r="F11" i="4"/>
  <c r="I10" i="4"/>
  <c r="H10" i="4"/>
  <c r="F10" i="4"/>
  <c r="I9" i="4"/>
  <c r="H9" i="4"/>
  <c r="F9" i="4"/>
  <c r="I8" i="4"/>
  <c r="H8" i="4"/>
  <c r="F8" i="4"/>
  <c r="I7" i="4"/>
  <c r="H7" i="4"/>
  <c r="F7" i="4"/>
  <c r="I6" i="4"/>
  <c r="H6" i="4"/>
  <c r="F6" i="4"/>
  <c r="I5" i="4"/>
  <c r="H5" i="4"/>
  <c r="F5" i="4"/>
  <c r="I4" i="4"/>
  <c r="H4" i="4"/>
  <c r="F4" i="4"/>
  <c r="I3" i="4"/>
  <c r="H3" i="4"/>
  <c r="F3" i="4"/>
  <c r="I2" i="4"/>
  <c r="H2" i="4"/>
  <c r="F2" i="4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H2" i="3"/>
  <c r="G2" i="3"/>
  <c r="N21" i="2"/>
  <c r="M21" i="2"/>
  <c r="L21" i="2"/>
  <c r="K21" i="2"/>
  <c r="J21" i="2"/>
  <c r="H21" i="2"/>
  <c r="G21" i="2"/>
  <c r="N20" i="2"/>
  <c r="M20" i="2"/>
  <c r="L20" i="2"/>
  <c r="K20" i="2"/>
  <c r="J20" i="2"/>
  <c r="H20" i="2"/>
  <c r="G20" i="2"/>
  <c r="N19" i="2"/>
  <c r="M19" i="2"/>
  <c r="L19" i="2"/>
  <c r="K19" i="2"/>
  <c r="J19" i="2"/>
  <c r="H19" i="2"/>
  <c r="G19" i="2"/>
  <c r="N18" i="2"/>
  <c r="M18" i="2"/>
  <c r="L18" i="2"/>
  <c r="K18" i="2"/>
  <c r="J18" i="2"/>
  <c r="H18" i="2"/>
  <c r="G18" i="2"/>
  <c r="N17" i="2"/>
  <c r="M17" i="2"/>
  <c r="L17" i="2"/>
  <c r="K17" i="2"/>
  <c r="J17" i="2"/>
  <c r="H17" i="2"/>
  <c r="G17" i="2"/>
  <c r="N16" i="2"/>
  <c r="M16" i="2"/>
  <c r="L16" i="2"/>
  <c r="K16" i="2"/>
  <c r="J16" i="2"/>
  <c r="H16" i="2"/>
  <c r="G16" i="2"/>
  <c r="N15" i="2"/>
  <c r="M15" i="2"/>
  <c r="L15" i="2"/>
  <c r="K15" i="2"/>
  <c r="J15" i="2"/>
  <c r="H15" i="2"/>
  <c r="G15" i="2"/>
  <c r="N14" i="2"/>
  <c r="M14" i="2"/>
  <c r="L14" i="2"/>
  <c r="K14" i="2"/>
  <c r="J14" i="2"/>
  <c r="H14" i="2"/>
  <c r="G14" i="2"/>
  <c r="N13" i="2"/>
  <c r="M13" i="2"/>
  <c r="L13" i="2"/>
  <c r="K13" i="2"/>
  <c r="J13" i="2"/>
  <c r="H13" i="2"/>
  <c r="G13" i="2"/>
  <c r="N12" i="2"/>
  <c r="M12" i="2"/>
  <c r="L12" i="2"/>
  <c r="K12" i="2"/>
  <c r="J12" i="2"/>
  <c r="H12" i="2"/>
  <c r="G12" i="2"/>
  <c r="N11" i="2"/>
  <c r="M11" i="2"/>
  <c r="L11" i="2"/>
  <c r="K11" i="2"/>
  <c r="J11" i="2"/>
  <c r="H11" i="2"/>
  <c r="G11" i="2"/>
  <c r="N10" i="2"/>
  <c r="M10" i="2"/>
  <c r="L10" i="2"/>
  <c r="K10" i="2"/>
  <c r="J10" i="2"/>
  <c r="H10" i="2"/>
  <c r="G10" i="2"/>
  <c r="N9" i="2"/>
  <c r="M9" i="2"/>
  <c r="L9" i="2"/>
  <c r="K9" i="2"/>
  <c r="J9" i="2"/>
  <c r="H9" i="2"/>
  <c r="G9" i="2"/>
  <c r="N8" i="2"/>
  <c r="M8" i="2"/>
  <c r="L8" i="2"/>
  <c r="K8" i="2"/>
  <c r="J8" i="2"/>
  <c r="H8" i="2"/>
  <c r="G8" i="2"/>
  <c r="N7" i="2"/>
  <c r="M7" i="2"/>
  <c r="L7" i="2"/>
  <c r="K7" i="2"/>
  <c r="J7" i="2"/>
  <c r="H7" i="2"/>
  <c r="G7" i="2"/>
  <c r="N6" i="2"/>
  <c r="M6" i="2"/>
  <c r="L6" i="2"/>
  <c r="K6" i="2"/>
  <c r="J6" i="2"/>
  <c r="H6" i="2"/>
  <c r="G6" i="2"/>
  <c r="N5" i="2"/>
  <c r="M5" i="2"/>
  <c r="L5" i="2"/>
  <c r="K5" i="2"/>
  <c r="J5" i="2"/>
  <c r="H5" i="2"/>
  <c r="G5" i="2"/>
  <c r="N4" i="2"/>
  <c r="M4" i="2"/>
  <c r="L4" i="2"/>
  <c r="K4" i="2"/>
  <c r="J4" i="2"/>
  <c r="H4" i="2"/>
  <c r="G4" i="2"/>
  <c r="N3" i="2"/>
  <c r="M3" i="2"/>
  <c r="L3" i="2"/>
  <c r="K3" i="2"/>
  <c r="J3" i="2"/>
  <c r="H3" i="2"/>
  <c r="G3" i="2"/>
  <c r="N2" i="2"/>
  <c r="M2" i="2"/>
  <c r="L2" i="2"/>
  <c r="K2" i="2"/>
  <c r="J2" i="2"/>
  <c r="H2" i="2"/>
  <c r="G2" i="2"/>
  <c r="I20" i="2" l="1"/>
  <c r="P20" i="2"/>
  <c r="I21" i="2"/>
  <c r="F2" i="5" a="1"/>
  <c r="G2" i="5" a="1"/>
  <c r="B13" i="5"/>
  <c r="I2" i="5" a="1"/>
  <c r="P21" i="2"/>
  <c r="P19" i="2"/>
  <c r="I19" i="2"/>
  <c r="P18" i="2"/>
  <c r="I18" i="2"/>
  <c r="I17" i="2"/>
  <c r="P17" i="2"/>
  <c r="P16" i="2"/>
  <c r="I16" i="2"/>
  <c r="P15" i="2"/>
  <c r="I15" i="2"/>
  <c r="P14" i="2"/>
  <c r="I14" i="2"/>
  <c r="P13" i="2"/>
  <c r="I13" i="2"/>
  <c r="P12" i="2"/>
  <c r="I12" i="2"/>
  <c r="I11" i="2"/>
  <c r="P11" i="2"/>
  <c r="I10" i="2"/>
  <c r="P10" i="2"/>
  <c r="I9" i="2"/>
  <c r="P9" i="2"/>
  <c r="I8" i="2"/>
  <c r="P8" i="2"/>
  <c r="P7" i="2"/>
  <c r="I7" i="2"/>
  <c r="P6" i="2"/>
  <c r="I6" i="2"/>
  <c r="P5" i="2"/>
  <c r="I5" i="2"/>
  <c r="P4" i="2"/>
  <c r="I4" i="2"/>
  <c r="P3" i="2"/>
  <c r="I3" i="2"/>
  <c r="I2" i="2"/>
  <c r="B37" i="5"/>
  <c r="B54" i="5" a="1"/>
  <c r="P2" i="2"/>
  <c r="H2" i="5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<sst xmlns="http://schemas.openxmlformats.org/spreadsheetml/2006/main" count="332" uniqueCount="205">
  <si>
    <t>Student ID</t>
  </si>
  <si>
    <t>Name</t>
  </si>
  <si>
    <t>Math</t>
  </si>
  <si>
    <t>Science</t>
  </si>
  <si>
    <t>English</t>
  </si>
  <si>
    <t>Enrollment Date</t>
  </si>
  <si>
    <t>Total</t>
  </si>
  <si>
    <t>Average</t>
  </si>
  <si>
    <t>Grade</t>
  </si>
  <si>
    <t>Result</t>
  </si>
  <si>
    <t>Math &amp; Science &gt;80</t>
  </si>
  <si>
    <t>Math &gt;60 or English &gt;80</t>
  </si>
  <si>
    <t>Full Name</t>
  </si>
  <si>
    <t>Enrollment Year</t>
  </si>
  <si>
    <t>Days Enrolled</t>
  </si>
  <si>
    <t>High Performer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</si>
  <si>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</si>
  <si>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</si>
  <si>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</si>
  <si>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</si>
  <si>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</si>
  <si>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</si>
  <si>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</si>
  <si>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</si>
  <si>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</si>
  <si>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</si>
  <si>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</si>
  <si>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</si>
  <si>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</si>
  <si>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</si>
  <si>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</si>
  <si>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</si>
  <si>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</si>
  <si>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</si>
  <si>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</si>
  <si>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</si>
  <si>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</si>
  <si>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</si>
  <si>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</si>
  <si>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</si>
  <si>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</si>
  <si>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</si>
  <si>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Month</t>
  </si>
  <si>
    <t>Year</t>
  </si>
  <si>
    <t>Amount with 5% Bonus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</si>
  <si>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</si>
  <si>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</si>
  <si>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</si>
  <si>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</si>
  <si>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</si>
  <si>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</si>
  <si>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</si>
  <si>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</si>
  <si>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</si>
  <si>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</si>
  <si>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</si>
  <si>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</si>
  <si>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</si>
  <si>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</si>
  <si>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</si>
  <si>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</si>
  <si>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</si>
  <si>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</si>
  <si>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</si>
  <si>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</si>
  <si>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</si>
  <si>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</si>
  <si>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</si>
  <si>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</si>
  <si>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</si>
  <si>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</si>
  <si>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</si>
  <si>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</si>
  <si>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</si>
  <si>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</si>
  <si>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</si>
  <si>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</si>
  <si>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</si>
  <si>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Joining Year</t>
  </si>
  <si>
    <t>Years of Service</t>
  </si>
  <si>
    <t>Salary Category</t>
  </si>
  <si>
    <t>Name (Uppercase)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</si>
  <si>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</si>
  <si>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</si>
  <si>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</si>
  <si>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</si>
  <si>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</si>
  <si>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</si>
  <si>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</si>
  <si>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</si>
  <si>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</si>
  <si>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</si>
  <si>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</si>
  <si>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</si>
  <si>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</si>
  <si>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</si>
  <si>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</si>
  <si>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</si>
  <si>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</si>
  <si>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</si>
  <si>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</si>
  <si>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</si>
  <si>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</si>
  <si>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</si>
  <si>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</si>
  <si>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</si>
  <si>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Value / Result</t>
  </si>
  <si>
    <t>Description</t>
  </si>
  <si>
    <t>Function</t>
  </si>
  <si>
    <t>FILTER: Average &gt;80</t>
  </si>
  <si>
    <t>Passing marks</t>
  </si>
  <si>
    <t>Editable threshold</t>
  </si>
  <si>
    <t>Absolute reference</t>
  </si>
  <si>
    <t>Sales bonus rate</t>
  </si>
  <si>
    <t>Editable percentage</t>
  </si>
  <si>
    <t>Students scoring &gt;60 in Math</t>
  </si>
  <si>
    <t>Based on original screenshot data</t>
  </si>
  <si>
    <t>COUNTIF</t>
  </si>
  <si>
    <t>Students scoring &gt;60 in all 3</t>
  </si>
  <si>
    <t>COUNTIFS</t>
  </si>
  <si>
    <t>Math &amp; Science &gt;50</t>
  </si>
  <si>
    <t>Average Math score</t>
  </si>
  <si>
    <t>AVERAGE</t>
  </si>
  <si>
    <t>Math score for ID 1005</t>
  </si>
  <si>
    <t>INDEX/MATCH</t>
  </si>
  <si>
    <t>Student 1003 full name</t>
  </si>
  <si>
    <t>VLOOKUP</t>
  </si>
  <si>
    <t>Student 1005 English mark</t>
  </si>
  <si>
    <t>XLOOKUP</t>
  </si>
  <si>
    <t>Position of student 1010</t>
  </si>
  <si>
    <t>XMATCH</t>
  </si>
  <si>
    <t>Students with avg above 80</t>
  </si>
  <si>
    <t>Total sales for Keyboard</t>
  </si>
  <si>
    <t>SUMIF</t>
  </si>
  <si>
    <t>Total East region sales</t>
  </si>
  <si>
    <t>SUMIFS</t>
  </si>
  <si>
    <t>Average sales in East</t>
  </si>
  <si>
    <t>AVERAGEIFS</t>
  </si>
  <si>
    <t>FILTER: Sales &gt;30000</t>
  </si>
  <si>
    <t>Sales amount for ID 2005</t>
  </si>
  <si>
    <t>Keyboard sales in East</t>
  </si>
  <si>
    <t>Price lookup: Keyboard sales</t>
  </si>
  <si>
    <t>Salary for employee 3008</t>
  </si>
  <si>
    <t>HR employees</t>
  </si>
  <si>
    <t>Average Finance salary</t>
  </si>
  <si>
    <t>Employee 3001 joining year</t>
  </si>
  <si>
    <t>YEAR/INDEX/MATCH</t>
  </si>
  <si>
    <t>Employee 3001 salary via INDIRECT</t>
  </si>
  <si>
    <t>INDIRECT</t>
  </si>
  <si>
    <t>Employee 3002 salary via OFFSET</t>
  </si>
  <si>
    <t>OFFSET</t>
  </si>
  <si>
    <t>Today</t>
  </si>
  <si>
    <t>TODAY</t>
  </si>
  <si>
    <t>Current year</t>
  </si>
  <si>
    <t>YEAR</t>
  </si>
  <si>
    <t>Math rounded average</t>
  </si>
  <si>
    <t>ROUND</t>
  </si>
  <si>
    <t>Text extraction from Student 1</t>
  </si>
  <si>
    <t>LEFT</t>
  </si>
  <si>
    <t>Text length</t>
  </si>
  <si>
    <t>LEN</t>
  </si>
  <si>
    <t>Student 1 formatted enrollment</t>
  </si>
  <si>
    <t>TEXT</t>
  </si>
  <si>
    <t>Students scoring &gt;80 in Math</t>
  </si>
  <si>
    <t>Dynamic lookup Employee ID</t>
  </si>
  <si>
    <t>Total sales</t>
  </si>
  <si>
    <t>SUM</t>
  </si>
  <si>
    <t>Highest salary</t>
  </si>
  <si>
    <t>MAX</t>
  </si>
  <si>
    <t>IF with absolute pass threshold</t>
  </si>
  <si>
    <t>Live formula from original dataset</t>
  </si>
  <si>
    <t>IF / absolute reference</t>
  </si>
  <si>
    <t>Nested IF grade</t>
  </si>
  <si>
    <t>Nested IF</t>
  </si>
  <si>
    <t>IF AND both scores &gt;80</t>
  </si>
  <si>
    <t>IF AND</t>
  </si>
  <si>
    <t>IF OR Math or English &gt;80</t>
  </si>
  <si>
    <t>IF OR</t>
  </si>
  <si>
    <t>Dynamic employee salary ID 3005</t>
  </si>
  <si>
    <t>Dynamic employee row position</t>
  </si>
  <si>
    <t>Employee salary INDEX MATCH</t>
  </si>
  <si>
    <t>East region sales count</t>
  </si>
  <si>
    <t>Average Keyboard sales East</t>
  </si>
  <si>
    <t>Extract first 7 letters</t>
  </si>
  <si>
    <t>Find Student text position</t>
  </si>
  <si>
    <t>FIND</t>
  </si>
  <si>
    <t>Join student name and ID</t>
  </si>
  <si>
    <t>CONCATENATE</t>
  </si>
  <si>
    <t>Sales date month</t>
  </si>
  <si>
    <t>MONTH</t>
  </si>
  <si>
    <t>Sales date day</t>
  </si>
  <si>
    <t>DAY</t>
  </si>
  <si>
    <t>Days between sales dates</t>
  </si>
  <si>
    <t>Date subtraction</t>
  </si>
  <si>
    <t>Round average score</t>
  </si>
  <si>
    <t>Sum three subject marks</t>
  </si>
  <si>
    <t>Highest science mark</t>
  </si>
  <si>
    <t>FILTER students average &gt;80</t>
  </si>
  <si>
    <t>Total Sales Amount</t>
  </si>
  <si>
    <t>Transactions</t>
  </si>
  <si>
    <t>Product lookup input</t>
  </si>
  <si>
    <t>Lookup result</t>
  </si>
  <si>
    <t>TASK HEADLING</t>
  </si>
  <si>
    <t>printer</t>
  </si>
  <si>
    <t xml:space="preserve"> Unit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</si>
</sst>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  <family val="2"/>
    </font>
    <font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D766E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vertical="center" wrapText="1"/>
    </xf>
    <xf numFmtId="0" fontId="1" fillId="3" borderId="0" xfId="0" applyFont="1" applyFill="1"/>
    <xf numFmtId="1" fontId="0" fillId="0" borderId="0" xfId="0" applyNumberFormat="1"/>
    <xf numFmtId="0" fontId="1" fillId="4" borderId="0" xfId="0" applyFont="1" applyFill="1"/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zoomScale="73" zoomScaleNormal="73" workbookViewId="0">
      <pane ySplit="1" topLeftCell="A2" activePane="bottomLeft" state="frozen"/>
      <selection pane="bottomLeft" activeCell="P24" sqref="P24"/>
    </sheetView>
  </sheetViews>
  <sheetFormatPr defaultRowHeight="15" x14ac:dyDescent="0.25"/>
  <cols>
    <col min="1" max="1" width="14" customWidth="1"/>
    <col min="2" max="2" width="19" customWidth="1"/>
    <col min="3" max="5" width="12" customWidth="1"/>
    <col min="6" max="6" width="20" customWidth="1"/>
    <col min="7" max="7" width="12" customWidth="1"/>
    <col min="8" max="8" width="13" customWidth="1"/>
    <col min="9" max="10" width="12" customWidth="1"/>
    <col min="11" max="11" width="23" customWidth="1"/>
    <col min="12" max="12" width="27" customWidth="1"/>
    <col min="13" max="13" width="23" customWidth="1"/>
    <col min="14" max="14" width="19" customWidth="1"/>
    <col min="15" max="15" width="17" customWidth="1"/>
    <col min="16" max="16" width="20" customWidth="1"/>
  </cols>
  <sheetData>
    <row r="1" spans="1:16" ht="32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>
        <v>1001</v>
      </c>
      <c r="B2" t="s">
        <v>16</v>
      </c>
      <c r="C2">
        <v>61</v>
      </c>
      <c r="D2">
        <v>48</v>
      </c>
      <c r="E2">
        <v>76</v>
      </c>
      <c r="F2" s="1">
        <v>43101</v>
      </c>
      <c r="G2">
        <f t="shared" ref="G2:G21" si="0">SUM(C2:E2)</f>
        <v>185</v>
      </c>
      <c r="H2" s="2">
        <f t="shared" ref="H2:H21" si="1">AVERAGE(C2:E2)</f>
        <v>61.666666666666664</v>
      </c>
      <c r="I2" t="str">
        <f t="shared" ref="I2:I21" si="2">IF(H2&gt;=80,"A",IF(H2&gt;=60,"B",IF(H2&gt;=40,"C","F")))</f>
        <v>B</v>
      </c>
      <c r="J2" t="str">
        <f t="shared" ref="J2:J21" si="3">IF(AND(C2&gt;=40,D2&gt;=40,E2&gt;=40),"Pass","Fail")</f>
        <v>Pass</v>
      </c>
      <c r="K2" t="str">
        <f t="shared" ref="K2:K21" si="4">IF(AND(C2&gt;80,D2&gt;80),"Yes","No")</f>
        <v>No</v>
      </c>
      <c r="L2" t="str">
        <f t="shared" ref="L2:L21" si="5">IF(OR(C2&gt;60,E2&gt;80),"Yes","No")</f>
        <v>Yes</v>
      </c>
      <c r="M2" t="str">
        <f t="shared" ref="M2:M21" si="6">B2&amp;" ("&amp;A2&amp;")"</f>
        <v>Student 1 (1001)</v>
      </c>
      <c r="N2">
        <f t="shared" ref="N2:N21" si="7">YEAR(F2)</f>
        <v>2018</v>
      </c>
      <c r="O2" s="7">
        <f ca="1">MAX(0,TODAY()-F2)</f>
        <v>3222</v>
      </c>
      <c r="P2" t="str">
        <f t="shared" ref="P2:P21" si="8">IF(H2&gt;80,"Yes","No")</f>
        <v>No</v>
      </c>
    </row>
    <row r="3" spans="1:16" x14ac:dyDescent="0.25">
      <c r="A3">
        <v>1002</v>
      </c>
      <c r="B3" t="s">
        <v>17</v>
      </c>
      <c r="C3">
        <v>78</v>
      </c>
      <c r="D3">
        <v>76</v>
      </c>
      <c r="E3">
        <v>70</v>
      </c>
      <c r="F3" s="1">
        <v>43281</v>
      </c>
      <c r="G3">
        <f t="shared" si="0"/>
        <v>224</v>
      </c>
      <c r="H3" s="2">
        <f t="shared" si="1"/>
        <v>74.666666666666671</v>
      </c>
      <c r="I3" t="str">
        <f t="shared" si="2"/>
        <v>B</v>
      </c>
      <c r="J3" t="str">
        <f t="shared" si="3"/>
        <v>Pass</v>
      </c>
      <c r="K3" t="str">
        <f t="shared" si="4"/>
        <v>No</v>
      </c>
      <c r="L3" t="str">
        <f t="shared" si="5"/>
        <v>Yes</v>
      </c>
      <c r="M3" t="str">
        <f t="shared" si="6"/>
        <v>Student 2 (1002)</v>
      </c>
      <c r="N3">
        <f t="shared" si="7"/>
        <v>2018</v>
      </c>
      <c r="O3" s="7">
        <f t="shared" ref="O3:O21" ca="1" si="9">MAX(0,TODAY()-F3)</f>
        <v>3042</v>
      </c>
      <c r="P3" t="str">
        <f t="shared" si="8"/>
        <v>No</v>
      </c>
    </row>
    <row r="4" spans="1:16" x14ac:dyDescent="0.25">
      <c r="A4">
        <v>1003</v>
      </c>
      <c r="B4" t="s">
        <v>18</v>
      </c>
      <c r="C4">
        <v>97</v>
      </c>
      <c r="D4">
        <v>60</v>
      </c>
      <c r="E4">
        <v>51</v>
      </c>
      <c r="F4" s="1">
        <v>43461</v>
      </c>
      <c r="G4">
        <f t="shared" si="0"/>
        <v>208</v>
      </c>
      <c r="H4" s="2">
        <f t="shared" si="1"/>
        <v>69.333333333333329</v>
      </c>
      <c r="I4" t="str">
        <f t="shared" si="2"/>
        <v>B</v>
      </c>
      <c r="J4" t="str">
        <f t="shared" si="3"/>
        <v>Pass</v>
      </c>
      <c r="K4" t="str">
        <f t="shared" si="4"/>
        <v>No</v>
      </c>
      <c r="L4" t="str">
        <f t="shared" si="5"/>
        <v>Yes</v>
      </c>
      <c r="M4" t="str">
        <f t="shared" si="6"/>
        <v>Student 3 (1003)</v>
      </c>
      <c r="N4">
        <f t="shared" si="7"/>
        <v>2018</v>
      </c>
      <c r="O4" s="7">
        <f t="shared" ca="1" si="9"/>
        <v>2862</v>
      </c>
      <c r="P4" t="str">
        <f t="shared" si="8"/>
        <v>No</v>
      </c>
    </row>
    <row r="5" spans="1:16" x14ac:dyDescent="0.25">
      <c r="A5">
        <v>1004</v>
      </c>
      <c r="B5" t="s">
        <v>19</v>
      </c>
      <c r="C5">
        <v>74</v>
      </c>
      <c r="D5">
        <v>55</v>
      </c>
      <c r="E5">
        <v>46</v>
      </c>
      <c r="F5" s="1">
        <v>43641</v>
      </c>
      <c r="G5">
        <f t="shared" si="0"/>
        <v>175</v>
      </c>
      <c r="H5" s="2">
        <f t="shared" si="1"/>
        <v>58.333333333333336</v>
      </c>
      <c r="I5" t="str">
        <f t="shared" si="2"/>
        <v>C</v>
      </c>
      <c r="J5" t="str">
        <f t="shared" si="3"/>
        <v>Pass</v>
      </c>
      <c r="K5" t="str">
        <f t="shared" si="4"/>
        <v>No</v>
      </c>
      <c r="L5" t="str">
        <f t="shared" si="5"/>
        <v>Yes</v>
      </c>
      <c r="M5" t="str">
        <f t="shared" si="6"/>
        <v>Student 4 (1004)</v>
      </c>
      <c r="N5">
        <f t="shared" si="7"/>
        <v>2019</v>
      </c>
      <c r="O5" s="7">
        <f t="shared" ca="1" si="9"/>
        <v>2682</v>
      </c>
      <c r="P5" t="str">
        <f t="shared" si="8"/>
        <v>No</v>
      </c>
    </row>
    <row r="6" spans="1:16" x14ac:dyDescent="0.25">
      <c r="A6">
        <v>1005</v>
      </c>
      <c r="B6" t="s">
        <v>20</v>
      </c>
      <c r="C6">
        <v>68</v>
      </c>
      <c r="D6">
        <v>74</v>
      </c>
      <c r="E6">
        <v>84</v>
      </c>
      <c r="F6" s="1">
        <v>43821</v>
      </c>
      <c r="G6">
        <f t="shared" si="0"/>
        <v>226</v>
      </c>
      <c r="H6" s="2">
        <f t="shared" si="1"/>
        <v>75.333333333333329</v>
      </c>
      <c r="I6" t="str">
        <f t="shared" si="2"/>
        <v>B</v>
      </c>
      <c r="J6" t="str">
        <f t="shared" si="3"/>
        <v>Pass</v>
      </c>
      <c r="K6" t="str">
        <f t="shared" si="4"/>
        <v>No</v>
      </c>
      <c r="L6" t="str">
        <f t="shared" si="5"/>
        <v>Yes</v>
      </c>
      <c r="M6" t="str">
        <f t="shared" si="6"/>
        <v>Student 5 (1005)</v>
      </c>
      <c r="N6">
        <f t="shared" si="7"/>
        <v>2019</v>
      </c>
      <c r="O6" s="7">
        <f t="shared" ca="1" si="9"/>
        <v>2502</v>
      </c>
      <c r="P6" t="str">
        <f t="shared" si="8"/>
        <v>No</v>
      </c>
    </row>
    <row r="7" spans="1:16" x14ac:dyDescent="0.25">
      <c r="A7">
        <v>1006</v>
      </c>
      <c r="B7" t="s">
        <v>21</v>
      </c>
      <c r="C7">
        <v>80</v>
      </c>
      <c r="D7">
        <v>70</v>
      </c>
      <c r="E7">
        <v>65</v>
      </c>
      <c r="F7" s="1">
        <v>44001</v>
      </c>
      <c r="G7">
        <f t="shared" si="0"/>
        <v>215</v>
      </c>
      <c r="H7" s="2">
        <f t="shared" si="1"/>
        <v>71.666666666666671</v>
      </c>
      <c r="I7" t="str">
        <f t="shared" si="2"/>
        <v>B</v>
      </c>
      <c r="J7" t="str">
        <f t="shared" si="3"/>
        <v>Pass</v>
      </c>
      <c r="K7" t="str">
        <f t="shared" si="4"/>
        <v>No</v>
      </c>
      <c r="L7" t="str">
        <f t="shared" si="5"/>
        <v>Yes</v>
      </c>
      <c r="M7" t="str">
        <f t="shared" si="6"/>
        <v>Student 6 (1006)</v>
      </c>
      <c r="N7">
        <f t="shared" si="7"/>
        <v>2020</v>
      </c>
      <c r="O7" s="7">
        <f t="shared" ca="1" si="9"/>
        <v>2322</v>
      </c>
      <c r="P7" t="str">
        <f t="shared" si="8"/>
        <v>No</v>
      </c>
    </row>
    <row r="8" spans="1:16" x14ac:dyDescent="0.25">
      <c r="A8">
        <v>1007</v>
      </c>
      <c r="B8" t="s">
        <v>22</v>
      </c>
      <c r="C8">
        <v>75</v>
      </c>
      <c r="D8">
        <v>47</v>
      </c>
      <c r="E8">
        <v>78</v>
      </c>
      <c r="F8" s="1">
        <v>44181</v>
      </c>
      <c r="G8">
        <f t="shared" si="0"/>
        <v>200</v>
      </c>
      <c r="H8" s="2">
        <f t="shared" si="1"/>
        <v>66.666666666666671</v>
      </c>
      <c r="I8" t="str">
        <f t="shared" si="2"/>
        <v>B</v>
      </c>
      <c r="J8" t="str">
        <f t="shared" si="3"/>
        <v>Pass</v>
      </c>
      <c r="K8" t="str">
        <f t="shared" si="4"/>
        <v>No</v>
      </c>
      <c r="L8" t="str">
        <f t="shared" si="5"/>
        <v>Yes</v>
      </c>
      <c r="M8" t="str">
        <f t="shared" si="6"/>
        <v>Student 7 (1007)</v>
      </c>
      <c r="N8">
        <f t="shared" si="7"/>
        <v>2020</v>
      </c>
      <c r="O8" s="7">
        <f t="shared" ca="1" si="9"/>
        <v>2142</v>
      </c>
      <c r="P8" t="str">
        <f t="shared" si="8"/>
        <v>No</v>
      </c>
    </row>
    <row r="9" spans="1:16" x14ac:dyDescent="0.25">
      <c r="A9">
        <v>1008</v>
      </c>
      <c r="B9" t="s">
        <v>23</v>
      </c>
      <c r="C9">
        <v>94</v>
      </c>
      <c r="D9">
        <v>67</v>
      </c>
      <c r="E9">
        <v>64</v>
      </c>
      <c r="F9" s="1">
        <v>44361</v>
      </c>
      <c r="G9">
        <f t="shared" si="0"/>
        <v>225</v>
      </c>
      <c r="H9" s="2">
        <f t="shared" si="1"/>
        <v>75</v>
      </c>
      <c r="I9" t="str">
        <f t="shared" si="2"/>
        <v>B</v>
      </c>
      <c r="J9" t="str">
        <f t="shared" si="3"/>
        <v>Pass</v>
      </c>
      <c r="K9" t="str">
        <f t="shared" si="4"/>
        <v>No</v>
      </c>
      <c r="L9" t="str">
        <f t="shared" si="5"/>
        <v>Yes</v>
      </c>
      <c r="M9" t="str">
        <f t="shared" si="6"/>
        <v>Student 8 (1008)</v>
      </c>
      <c r="N9">
        <f t="shared" si="7"/>
        <v>2021</v>
      </c>
      <c r="O9" s="7">
        <f t="shared" ca="1" si="9"/>
        <v>1962</v>
      </c>
      <c r="P9" t="str">
        <f t="shared" si="8"/>
        <v>No</v>
      </c>
    </row>
    <row r="10" spans="1:16" x14ac:dyDescent="0.25">
      <c r="A10">
        <v>1009</v>
      </c>
      <c r="B10" t="s">
        <v>24</v>
      </c>
      <c r="C10">
        <v>41</v>
      </c>
      <c r="D10">
        <v>75</v>
      </c>
      <c r="E10">
        <v>56</v>
      </c>
      <c r="F10" s="1">
        <v>44541</v>
      </c>
      <c r="G10">
        <f t="shared" si="0"/>
        <v>172</v>
      </c>
      <c r="H10" s="2">
        <f t="shared" si="1"/>
        <v>57.333333333333336</v>
      </c>
      <c r="I10" t="str">
        <f t="shared" si="2"/>
        <v>C</v>
      </c>
      <c r="J10" t="str">
        <f t="shared" si="3"/>
        <v>Pass</v>
      </c>
      <c r="K10" t="str">
        <f t="shared" si="4"/>
        <v>No</v>
      </c>
      <c r="L10" t="str">
        <f t="shared" si="5"/>
        <v>No</v>
      </c>
      <c r="M10" t="str">
        <f t="shared" si="6"/>
        <v>Student 9 (1009)</v>
      </c>
      <c r="N10">
        <f t="shared" si="7"/>
        <v>2021</v>
      </c>
      <c r="O10" s="7">
        <f t="shared" ca="1" si="9"/>
        <v>1782</v>
      </c>
      <c r="P10" t="str">
        <f t="shared" si="8"/>
        <v>No</v>
      </c>
    </row>
    <row r="11" spans="1:16" x14ac:dyDescent="0.25">
      <c r="A11">
        <v>1010</v>
      </c>
      <c r="B11" t="s">
        <v>25</v>
      </c>
      <c r="C11">
        <v>98</v>
      </c>
      <c r="D11">
        <v>54</v>
      </c>
      <c r="E11">
        <v>58</v>
      </c>
      <c r="F11" s="1">
        <v>44721</v>
      </c>
      <c r="G11">
        <f t="shared" si="0"/>
        <v>210</v>
      </c>
      <c r="H11" s="2">
        <f t="shared" si="1"/>
        <v>70</v>
      </c>
      <c r="I11" t="str">
        <f t="shared" si="2"/>
        <v>B</v>
      </c>
      <c r="J11" t="str">
        <f t="shared" si="3"/>
        <v>Pass</v>
      </c>
      <c r="K11" t="str">
        <f t="shared" si="4"/>
        <v>No</v>
      </c>
      <c r="L11" t="str">
        <f t="shared" si="5"/>
        <v>Yes</v>
      </c>
      <c r="M11" t="str">
        <f t="shared" si="6"/>
        <v>Student 10 (1010)</v>
      </c>
      <c r="N11">
        <f t="shared" si="7"/>
        <v>2022</v>
      </c>
      <c r="O11" s="7">
        <f t="shared" ca="1" si="9"/>
        <v>1602</v>
      </c>
      <c r="P11" t="str">
        <f t="shared" si="8"/>
        <v>No</v>
      </c>
    </row>
    <row r="12" spans="1:16" x14ac:dyDescent="0.25">
      <c r="A12">
        <v>1011</v>
      </c>
      <c r="B12" t="s">
        <v>26</v>
      </c>
      <c r="C12">
        <v>73</v>
      </c>
      <c r="D12">
        <v>79</v>
      </c>
      <c r="E12">
        <v>53</v>
      </c>
      <c r="F12" s="1">
        <v>44901</v>
      </c>
      <c r="G12">
        <f t="shared" si="0"/>
        <v>205</v>
      </c>
      <c r="H12" s="2">
        <f t="shared" si="1"/>
        <v>68.333333333333329</v>
      </c>
      <c r="I12" t="str">
        <f t="shared" si="2"/>
        <v>B</v>
      </c>
      <c r="J12" t="str">
        <f t="shared" si="3"/>
        <v>Pass</v>
      </c>
      <c r="K12" t="str">
        <f t="shared" si="4"/>
        <v>No</v>
      </c>
      <c r="L12" t="str">
        <f t="shared" si="5"/>
        <v>Yes</v>
      </c>
      <c r="M12" t="str">
        <f t="shared" si="6"/>
        <v>Student 11 (1011)</v>
      </c>
      <c r="N12">
        <f t="shared" si="7"/>
        <v>2022</v>
      </c>
      <c r="O12" s="7">
        <f t="shared" ca="1" si="9"/>
        <v>1422</v>
      </c>
      <c r="P12" t="str">
        <f t="shared" si="8"/>
        <v>No</v>
      </c>
    </row>
    <row r="13" spans="1:16" x14ac:dyDescent="0.25">
      <c r="A13">
        <v>1012</v>
      </c>
      <c r="B13" t="s">
        <v>27</v>
      </c>
      <c r="C13">
        <v>85</v>
      </c>
      <c r="D13">
        <v>89</v>
      </c>
      <c r="E13">
        <v>79</v>
      </c>
      <c r="F13" s="1">
        <v>45081</v>
      </c>
      <c r="G13">
        <f t="shared" si="0"/>
        <v>253</v>
      </c>
      <c r="H13" s="2">
        <f t="shared" si="1"/>
        <v>84.333333333333329</v>
      </c>
      <c r="I13" t="str">
        <f t="shared" si="2"/>
        <v>A</v>
      </c>
      <c r="J13" t="str">
        <f t="shared" si="3"/>
        <v>Pass</v>
      </c>
      <c r="K13" t="str">
        <f t="shared" si="4"/>
        <v>Yes</v>
      </c>
      <c r="L13" t="str">
        <f t="shared" si="5"/>
        <v>Yes</v>
      </c>
      <c r="M13" t="str">
        <f t="shared" si="6"/>
        <v>Student 12 (1012)</v>
      </c>
      <c r="N13">
        <f t="shared" si="7"/>
        <v>2023</v>
      </c>
      <c r="O13" s="7">
        <f t="shared" ca="1" si="9"/>
        <v>1242</v>
      </c>
      <c r="P13" t="str">
        <f t="shared" si="8"/>
        <v>Yes</v>
      </c>
    </row>
    <row r="14" spans="1:16" x14ac:dyDescent="0.25">
      <c r="A14">
        <v>1013</v>
      </c>
      <c r="B14" t="s">
        <v>28</v>
      </c>
      <c r="C14">
        <v>98</v>
      </c>
      <c r="D14">
        <v>90</v>
      </c>
      <c r="E14">
        <v>97</v>
      </c>
      <c r="F14" s="1">
        <v>45261</v>
      </c>
      <c r="G14">
        <f t="shared" si="0"/>
        <v>285</v>
      </c>
      <c r="H14" s="2">
        <f t="shared" si="1"/>
        <v>95</v>
      </c>
      <c r="I14" t="str">
        <f t="shared" si="2"/>
        <v>A</v>
      </c>
      <c r="J14" t="str">
        <f t="shared" si="3"/>
        <v>Pass</v>
      </c>
      <c r="K14" t="str">
        <f t="shared" si="4"/>
        <v>Yes</v>
      </c>
      <c r="L14" t="str">
        <f t="shared" si="5"/>
        <v>Yes</v>
      </c>
      <c r="M14" t="str">
        <f t="shared" si="6"/>
        <v>Student 13 (1013)</v>
      </c>
      <c r="N14">
        <f t="shared" si="7"/>
        <v>2023</v>
      </c>
      <c r="O14" s="7">
        <f t="shared" ca="1" si="9"/>
        <v>1062</v>
      </c>
      <c r="P14" t="str">
        <f t="shared" si="8"/>
        <v>Yes</v>
      </c>
    </row>
    <row r="15" spans="1:16" x14ac:dyDescent="0.25">
      <c r="A15">
        <v>1014</v>
      </c>
      <c r="B15" t="s">
        <v>29</v>
      </c>
      <c r="C15">
        <v>93</v>
      </c>
      <c r="D15">
        <v>40</v>
      </c>
      <c r="E15">
        <v>44</v>
      </c>
      <c r="F15" s="1">
        <v>45441</v>
      </c>
      <c r="G15">
        <f t="shared" si="0"/>
        <v>177</v>
      </c>
      <c r="H15" s="2">
        <f t="shared" si="1"/>
        <v>59</v>
      </c>
      <c r="I15" t="str">
        <f t="shared" si="2"/>
        <v>C</v>
      </c>
      <c r="J15" t="str">
        <f t="shared" si="3"/>
        <v>Pass</v>
      </c>
      <c r="K15" t="str">
        <f t="shared" si="4"/>
        <v>No</v>
      </c>
      <c r="L15" t="str">
        <f t="shared" si="5"/>
        <v>Yes</v>
      </c>
      <c r="M15" t="str">
        <f t="shared" si="6"/>
        <v>Student 14 (1014)</v>
      </c>
      <c r="N15">
        <f t="shared" si="7"/>
        <v>2024</v>
      </c>
      <c r="O15" s="7">
        <f t="shared" ca="1" si="9"/>
        <v>882</v>
      </c>
      <c r="P15" t="str">
        <f t="shared" si="8"/>
        <v>No</v>
      </c>
    </row>
    <row r="16" spans="1:16" x14ac:dyDescent="0.25">
      <c r="A16">
        <v>1015</v>
      </c>
      <c r="B16" t="s">
        <v>30</v>
      </c>
      <c r="C16">
        <v>70</v>
      </c>
      <c r="D16">
        <v>51</v>
      </c>
      <c r="E16">
        <v>75</v>
      </c>
      <c r="F16" s="1">
        <v>45621</v>
      </c>
      <c r="G16">
        <f t="shared" si="0"/>
        <v>196</v>
      </c>
      <c r="H16" s="2">
        <f t="shared" si="1"/>
        <v>65.333333333333329</v>
      </c>
      <c r="I16" t="str">
        <f t="shared" si="2"/>
        <v>B</v>
      </c>
      <c r="J16" t="str">
        <f t="shared" si="3"/>
        <v>Pass</v>
      </c>
      <c r="K16" t="str">
        <f t="shared" si="4"/>
        <v>No</v>
      </c>
      <c r="L16" t="str">
        <f t="shared" si="5"/>
        <v>Yes</v>
      </c>
      <c r="M16" t="str">
        <f t="shared" si="6"/>
        <v>Student 15 (1015)</v>
      </c>
      <c r="N16">
        <f t="shared" si="7"/>
        <v>2024</v>
      </c>
      <c r="O16" s="7">
        <f t="shared" ca="1" si="9"/>
        <v>702</v>
      </c>
      <c r="P16" t="str">
        <f t="shared" si="8"/>
        <v>No</v>
      </c>
    </row>
    <row r="17" spans="1:16" x14ac:dyDescent="0.25">
      <c r="A17">
        <v>1016</v>
      </c>
      <c r="B17" t="s">
        <v>31</v>
      </c>
      <c r="C17">
        <v>98</v>
      </c>
      <c r="D17">
        <v>77</v>
      </c>
      <c r="E17">
        <v>60</v>
      </c>
      <c r="F17" s="1">
        <v>45801</v>
      </c>
      <c r="G17">
        <f t="shared" si="0"/>
        <v>235</v>
      </c>
      <c r="H17" s="2">
        <f t="shared" si="1"/>
        <v>78.333333333333329</v>
      </c>
      <c r="I17" t="str">
        <f t="shared" si="2"/>
        <v>B</v>
      </c>
      <c r="J17" t="str">
        <f t="shared" si="3"/>
        <v>Pass</v>
      </c>
      <c r="K17" t="str">
        <f t="shared" si="4"/>
        <v>No</v>
      </c>
      <c r="L17" t="str">
        <f t="shared" si="5"/>
        <v>Yes</v>
      </c>
      <c r="M17" t="str">
        <f t="shared" si="6"/>
        <v>Student 16 (1016)</v>
      </c>
      <c r="N17">
        <f t="shared" si="7"/>
        <v>2025</v>
      </c>
      <c r="O17" s="7">
        <f t="shared" ca="1" si="9"/>
        <v>522</v>
      </c>
      <c r="P17" t="str">
        <f t="shared" si="8"/>
        <v>No</v>
      </c>
    </row>
    <row r="18" spans="1:16" x14ac:dyDescent="0.25">
      <c r="A18">
        <v>1017</v>
      </c>
      <c r="B18" t="s">
        <v>32</v>
      </c>
      <c r="C18">
        <v>66</v>
      </c>
      <c r="D18">
        <v>59</v>
      </c>
      <c r="E18">
        <v>40</v>
      </c>
      <c r="F18" s="1">
        <v>45981</v>
      </c>
      <c r="G18">
        <f t="shared" si="0"/>
        <v>165</v>
      </c>
      <c r="H18" s="2">
        <f t="shared" si="1"/>
        <v>55</v>
      </c>
      <c r="I18" t="str">
        <f t="shared" si="2"/>
        <v>C</v>
      </c>
      <c r="J18" t="str">
        <f t="shared" si="3"/>
        <v>Pass</v>
      </c>
      <c r="K18" t="str">
        <f t="shared" si="4"/>
        <v>No</v>
      </c>
      <c r="L18" t="str">
        <f t="shared" si="5"/>
        <v>Yes</v>
      </c>
      <c r="M18" t="str">
        <f t="shared" si="6"/>
        <v>Student 17 (1017)</v>
      </c>
      <c r="N18">
        <f t="shared" si="7"/>
        <v>2025</v>
      </c>
      <c r="O18" s="7">
        <f t="shared" ca="1" si="9"/>
        <v>342</v>
      </c>
      <c r="P18" t="str">
        <f t="shared" si="8"/>
        <v>No</v>
      </c>
    </row>
    <row r="19" spans="1:16" x14ac:dyDescent="0.25">
      <c r="A19">
        <v>1018</v>
      </c>
      <c r="B19" t="s">
        <v>33</v>
      </c>
      <c r="C19">
        <v>82</v>
      </c>
      <c r="D19">
        <v>48</v>
      </c>
      <c r="E19">
        <v>79</v>
      </c>
      <c r="F19" s="1">
        <v>46161</v>
      </c>
      <c r="G19">
        <f t="shared" si="0"/>
        <v>209</v>
      </c>
      <c r="H19" s="2">
        <f t="shared" si="1"/>
        <v>69.666666666666671</v>
      </c>
      <c r="I19" t="str">
        <f t="shared" si="2"/>
        <v>B</v>
      </c>
      <c r="J19" t="str">
        <f t="shared" si="3"/>
        <v>Pass</v>
      </c>
      <c r="K19" t="str">
        <f t="shared" si="4"/>
        <v>No</v>
      </c>
      <c r="L19" t="str">
        <f t="shared" si="5"/>
        <v>Yes</v>
      </c>
      <c r="M19" t="str">
        <f t="shared" si="6"/>
        <v>Student 18 (1018)</v>
      </c>
      <c r="N19">
        <f t="shared" si="7"/>
        <v>2026</v>
      </c>
      <c r="O19" s="7">
        <f t="shared" ca="1" si="9"/>
        <v>162</v>
      </c>
      <c r="P19" t="str">
        <f t="shared" si="8"/>
        <v>No</v>
      </c>
    </row>
    <row r="20" spans="1:16" x14ac:dyDescent="0.25">
      <c r="A20">
        <v>1019</v>
      </c>
      <c r="B20" t="s">
        <v>34</v>
      </c>
      <c r="C20">
        <v>90</v>
      </c>
      <c r="D20">
        <v>78</v>
      </c>
      <c r="E20">
        <v>60</v>
      </c>
      <c r="F20" s="1">
        <v>46341</v>
      </c>
      <c r="G20">
        <f t="shared" si="0"/>
        <v>228</v>
      </c>
      <c r="H20" s="2">
        <f t="shared" si="1"/>
        <v>76</v>
      </c>
      <c r="I20" t="str">
        <f t="shared" si="2"/>
        <v>B</v>
      </c>
      <c r="J20" t="str">
        <f t="shared" si="3"/>
        <v>Pass</v>
      </c>
      <c r="K20" t="str">
        <f t="shared" si="4"/>
        <v>No</v>
      </c>
      <c r="L20" t="str">
        <f t="shared" si="5"/>
        <v>Yes</v>
      </c>
      <c r="M20" t="str">
        <f t="shared" si="6"/>
        <v>Student 19 (1019)</v>
      </c>
      <c r="N20">
        <f t="shared" si="7"/>
        <v>2026</v>
      </c>
      <c r="O20" s="7">
        <f t="shared" ca="1" si="9"/>
        <v>0</v>
      </c>
      <c r="P20" t="str">
        <f t="shared" si="8"/>
        <v>No</v>
      </c>
    </row>
    <row r="21" spans="1:16" x14ac:dyDescent="0.25">
      <c r="A21">
        <v>1020</v>
      </c>
      <c r="B21" t="s">
        <v>35</v>
      </c>
      <c r="C21">
        <v>83</v>
      </c>
      <c r="D21">
        <v>92</v>
      </c>
      <c r="E21">
        <v>55</v>
      </c>
      <c r="F21" s="1">
        <v>46521</v>
      </c>
      <c r="G21">
        <f t="shared" si="0"/>
        <v>230</v>
      </c>
      <c r="H21" s="2">
        <f t="shared" si="1"/>
        <v>76.666666666666671</v>
      </c>
      <c r="I21" t="str">
        <f t="shared" si="2"/>
        <v>B</v>
      </c>
      <c r="J21" t="str">
        <f t="shared" si="3"/>
        <v>Pass</v>
      </c>
      <c r="K21" t="str">
        <f t="shared" si="4"/>
        <v>Yes</v>
      </c>
      <c r="L21" t="str">
        <f t="shared" si="5"/>
        <v>Yes</v>
      </c>
      <c r="M21" t="str">
        <f t="shared" si="6"/>
        <v>Student 20 (1020)</v>
      </c>
      <c r="N21">
        <f t="shared" si="7"/>
        <v>2027</v>
      </c>
      <c r="O21" s="7">
        <f t="shared" ca="1" si="9"/>
        <v>0</v>
      </c>
      <c r="P21" t="str">
        <f t="shared" si="8"/>
        <v>No</v>
      </c>
    </row>
  </sheetData>
  <conditionalFormatting sqref="H2:H2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15" customWidth="1"/>
    <col min="4" max="4" width="19" customWidth="1"/>
    <col min="5" max="5" width="16" customWidth="1"/>
    <col min="6" max="6" width="19" customWidth="1"/>
    <col min="7" max="7" width="13" customWidth="1"/>
    <col min="8" max="8" width="12" customWidth="1"/>
    <col min="9" max="9" width="23" customWidth="1"/>
  </cols>
  <sheetData>
    <row r="1" spans="1:9" ht="32.1" customHeight="1" x14ac:dyDescent="0.2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</row>
    <row r="2" spans="1:9" x14ac:dyDescent="0.25">
      <c r="A2">
        <v>2001</v>
      </c>
      <c r="B2" t="s">
        <v>45</v>
      </c>
      <c r="C2" t="s">
        <v>46</v>
      </c>
      <c r="D2" t="s">
        <v>47</v>
      </c>
      <c r="E2" s="3">
        <v>7048</v>
      </c>
      <c r="F2" s="1">
        <v>44927</v>
      </c>
      <c r="G2" t="str">
        <f t="shared" ref="G2:G21" si="0">TEXT(F2,"mmm")</f>
        <v>Jan</v>
      </c>
      <c r="H2">
        <f t="shared" ref="H2:H21" si="1">YEAR(F2)</f>
        <v>2023</v>
      </c>
      <c r="I2">
        <f>E2*(1+'Formula Practice'!$B$3)</f>
        <v>7400.4000000000005</v>
      </c>
    </row>
    <row r="3" spans="1:9" x14ac:dyDescent="0.25">
      <c r="A3">
        <v>2002</v>
      </c>
      <c r="B3" t="s">
        <v>48</v>
      </c>
      <c r="C3" t="s">
        <v>49</v>
      </c>
      <c r="D3" t="s">
        <v>50</v>
      </c>
      <c r="E3" s="3">
        <v>17428</v>
      </c>
      <c r="F3" s="1">
        <v>44942</v>
      </c>
      <c r="G3" t="str">
        <f t="shared" si="0"/>
        <v>Jan</v>
      </c>
      <c r="H3">
        <f t="shared" si="1"/>
        <v>2023</v>
      </c>
      <c r="I3">
        <f>E3*(1+'Formula Practice'!$B$3)</f>
        <v>18299.400000000001</v>
      </c>
    </row>
    <row r="4" spans="1:9" x14ac:dyDescent="0.25">
      <c r="A4">
        <v>2003</v>
      </c>
      <c r="B4" t="s">
        <v>51</v>
      </c>
      <c r="C4" t="s">
        <v>46</v>
      </c>
      <c r="D4" t="s">
        <v>52</v>
      </c>
      <c r="E4" s="3">
        <v>23672</v>
      </c>
      <c r="F4" s="1">
        <v>44957</v>
      </c>
      <c r="G4" t="str">
        <f t="shared" si="0"/>
        <v>Jan</v>
      </c>
      <c r="H4">
        <f t="shared" si="1"/>
        <v>2023</v>
      </c>
      <c r="I4">
        <f>E4*(1+'Formula Practice'!$B$3)</f>
        <v>24855.600000000002</v>
      </c>
    </row>
    <row r="5" spans="1:9" x14ac:dyDescent="0.25">
      <c r="A5">
        <v>2004</v>
      </c>
      <c r="B5" t="s">
        <v>48</v>
      </c>
      <c r="C5" t="s">
        <v>53</v>
      </c>
      <c r="D5" t="s">
        <v>54</v>
      </c>
      <c r="E5" s="3">
        <v>5264</v>
      </c>
      <c r="F5" s="1">
        <v>44972</v>
      </c>
      <c r="G5" t="str">
        <f t="shared" si="0"/>
        <v>Feb</v>
      </c>
      <c r="H5">
        <f t="shared" si="1"/>
        <v>2023</v>
      </c>
      <c r="I5">
        <f>E5*(1+'Formula Practice'!$B$3)</f>
        <v>5527.2</v>
      </c>
    </row>
    <row r="6" spans="1:9" x14ac:dyDescent="0.25">
      <c r="A6">
        <v>2005</v>
      </c>
      <c r="B6" t="s">
        <v>45</v>
      </c>
      <c r="C6" t="s">
        <v>55</v>
      </c>
      <c r="D6" t="s">
        <v>56</v>
      </c>
      <c r="E6" s="3">
        <v>43388</v>
      </c>
      <c r="F6" s="1">
        <v>44987</v>
      </c>
      <c r="G6" t="str">
        <f t="shared" si="0"/>
        <v>Mar</v>
      </c>
      <c r="H6">
        <f t="shared" si="1"/>
        <v>2023</v>
      </c>
      <c r="I6">
        <f>E6*(1+'Formula Practice'!$B$3)</f>
        <v>45557.4</v>
      </c>
    </row>
    <row r="7" spans="1:9" x14ac:dyDescent="0.25">
      <c r="A7">
        <v>2006</v>
      </c>
      <c r="B7" t="s">
        <v>51</v>
      </c>
      <c r="C7" t="s">
        <v>55</v>
      </c>
      <c r="D7" t="s">
        <v>57</v>
      </c>
      <c r="E7" s="3">
        <v>19757</v>
      </c>
      <c r="F7" s="1">
        <v>45002</v>
      </c>
      <c r="G7" t="str">
        <f t="shared" si="0"/>
        <v>Mar</v>
      </c>
      <c r="H7">
        <f t="shared" si="1"/>
        <v>2023</v>
      </c>
      <c r="I7">
        <f>E7*(1+'Formula Practice'!$B$3)</f>
        <v>20744.850000000002</v>
      </c>
    </row>
    <row r="8" spans="1:9" x14ac:dyDescent="0.25">
      <c r="A8">
        <v>2007</v>
      </c>
      <c r="B8" t="s">
        <v>51</v>
      </c>
      <c r="C8" t="s">
        <v>53</v>
      </c>
      <c r="D8" t="s">
        <v>58</v>
      </c>
      <c r="E8" s="3">
        <v>32058</v>
      </c>
      <c r="F8" s="1">
        <v>45017</v>
      </c>
      <c r="G8" t="str">
        <f t="shared" si="0"/>
        <v>Apr</v>
      </c>
      <c r="H8">
        <f t="shared" si="1"/>
        <v>2023</v>
      </c>
      <c r="I8">
        <f>E8*(1+'Formula Practice'!$B$3)</f>
        <v>33660.9</v>
      </c>
    </row>
    <row r="9" spans="1:9" x14ac:dyDescent="0.25">
      <c r="A9">
        <v>2008</v>
      </c>
      <c r="B9" t="s">
        <v>45</v>
      </c>
      <c r="C9" t="s">
        <v>53</v>
      </c>
      <c r="D9" t="s">
        <v>59</v>
      </c>
      <c r="E9" s="3">
        <v>46429</v>
      </c>
      <c r="F9" s="1">
        <v>45032</v>
      </c>
      <c r="G9" t="str">
        <f t="shared" si="0"/>
        <v>Apr</v>
      </c>
      <c r="H9">
        <f t="shared" si="1"/>
        <v>2023</v>
      </c>
      <c r="I9">
        <f>E9*(1+'Formula Practice'!$B$3)</f>
        <v>48750.450000000004</v>
      </c>
    </row>
    <row r="10" spans="1:9" x14ac:dyDescent="0.25">
      <c r="A10">
        <v>2009</v>
      </c>
      <c r="B10" t="s">
        <v>48</v>
      </c>
      <c r="C10" t="s">
        <v>53</v>
      </c>
      <c r="D10" t="s">
        <v>60</v>
      </c>
      <c r="E10" s="3">
        <v>19746</v>
      </c>
      <c r="F10" s="1">
        <v>45047</v>
      </c>
      <c r="G10" t="str">
        <f t="shared" si="0"/>
        <v>May</v>
      </c>
      <c r="H10">
        <f t="shared" si="1"/>
        <v>2023</v>
      </c>
      <c r="I10">
        <f>E10*(1+'Formula Practice'!$B$3)</f>
        <v>20733.3</v>
      </c>
    </row>
    <row r="11" spans="1:9" x14ac:dyDescent="0.25">
      <c r="A11">
        <v>2010</v>
      </c>
      <c r="B11" t="s">
        <v>45</v>
      </c>
      <c r="C11" t="s">
        <v>46</v>
      </c>
      <c r="D11" t="s">
        <v>61</v>
      </c>
      <c r="E11" s="3">
        <v>35185</v>
      </c>
      <c r="F11" s="1">
        <v>45062</v>
      </c>
      <c r="G11" t="str">
        <f t="shared" si="0"/>
        <v>May</v>
      </c>
      <c r="H11">
        <f t="shared" si="1"/>
        <v>2023</v>
      </c>
      <c r="I11">
        <f>E11*(1+'Formula Practice'!$B$3)</f>
        <v>36944.25</v>
      </c>
    </row>
    <row r="12" spans="1:9" x14ac:dyDescent="0.25">
      <c r="A12">
        <v>2011</v>
      </c>
      <c r="B12" t="s">
        <v>45</v>
      </c>
      <c r="C12" t="s">
        <v>53</v>
      </c>
      <c r="D12" t="s">
        <v>62</v>
      </c>
      <c r="E12" s="3">
        <v>33920</v>
      </c>
      <c r="F12" s="1">
        <v>45077</v>
      </c>
      <c r="G12" t="str">
        <f t="shared" si="0"/>
        <v>May</v>
      </c>
      <c r="H12">
        <f t="shared" si="1"/>
        <v>2023</v>
      </c>
      <c r="I12">
        <f>E12*(1+'Formula Practice'!$B$3)</f>
        <v>35616</v>
      </c>
    </row>
    <row r="13" spans="1:9" x14ac:dyDescent="0.25">
      <c r="A13">
        <v>2012</v>
      </c>
      <c r="B13" t="s">
        <v>63</v>
      </c>
      <c r="C13" t="s">
        <v>55</v>
      </c>
      <c r="D13" t="s">
        <v>64</v>
      </c>
      <c r="E13" s="3">
        <v>35611</v>
      </c>
      <c r="F13" s="1">
        <v>45092</v>
      </c>
      <c r="G13" t="str">
        <f t="shared" si="0"/>
        <v>Jun</v>
      </c>
      <c r="H13">
        <f t="shared" si="1"/>
        <v>2023</v>
      </c>
      <c r="I13">
        <f>E13*(1+'Formula Practice'!$B$3)</f>
        <v>37391.550000000003</v>
      </c>
    </row>
    <row r="14" spans="1:9" x14ac:dyDescent="0.25">
      <c r="A14">
        <v>2013</v>
      </c>
      <c r="B14" t="s">
        <v>65</v>
      </c>
      <c r="C14" t="s">
        <v>53</v>
      </c>
      <c r="D14" t="s">
        <v>66</v>
      </c>
      <c r="E14" s="3">
        <v>15560</v>
      </c>
      <c r="F14" s="1">
        <v>45107</v>
      </c>
      <c r="G14" t="str">
        <f t="shared" si="0"/>
        <v>Jun</v>
      </c>
      <c r="H14">
        <f t="shared" si="1"/>
        <v>2023</v>
      </c>
      <c r="I14">
        <f>E14*(1+'Formula Practice'!$B$3)</f>
        <v>16338</v>
      </c>
    </row>
    <row r="15" spans="1:9" x14ac:dyDescent="0.25">
      <c r="A15">
        <v>2014</v>
      </c>
      <c r="B15" t="s">
        <v>65</v>
      </c>
      <c r="C15" t="s">
        <v>46</v>
      </c>
      <c r="D15" t="s">
        <v>67</v>
      </c>
      <c r="E15" s="3">
        <v>7283</v>
      </c>
      <c r="F15" s="1">
        <v>45122</v>
      </c>
      <c r="G15" t="str">
        <f t="shared" si="0"/>
        <v>Jul</v>
      </c>
      <c r="H15">
        <f t="shared" si="1"/>
        <v>2023</v>
      </c>
      <c r="I15">
        <f>E15*(1+'Formula Practice'!$B$3)</f>
        <v>7647.1500000000005</v>
      </c>
    </row>
    <row r="16" spans="1:9" x14ac:dyDescent="0.25">
      <c r="A16">
        <v>2015</v>
      </c>
      <c r="B16" t="s">
        <v>65</v>
      </c>
      <c r="C16" t="s">
        <v>53</v>
      </c>
      <c r="D16" t="s">
        <v>68</v>
      </c>
      <c r="E16" s="3">
        <v>15678</v>
      </c>
      <c r="F16" s="1">
        <v>45137</v>
      </c>
      <c r="G16" t="str">
        <f t="shared" si="0"/>
        <v>Jul</v>
      </c>
      <c r="H16">
        <f t="shared" si="1"/>
        <v>2023</v>
      </c>
      <c r="I16">
        <f>E16*(1+'Formula Practice'!$B$3)</f>
        <v>16461.900000000001</v>
      </c>
    </row>
    <row r="17" spans="1:9" x14ac:dyDescent="0.25">
      <c r="A17">
        <v>2016</v>
      </c>
      <c r="B17" t="s">
        <v>51</v>
      </c>
      <c r="C17" t="s">
        <v>53</v>
      </c>
      <c r="D17" t="s">
        <v>69</v>
      </c>
      <c r="E17" s="3">
        <v>5277</v>
      </c>
      <c r="F17" s="1">
        <v>45152</v>
      </c>
      <c r="G17" t="str">
        <f t="shared" si="0"/>
        <v>Aug</v>
      </c>
      <c r="H17">
        <f t="shared" si="1"/>
        <v>2023</v>
      </c>
      <c r="I17">
        <f>E17*(1+'Formula Practice'!$B$3)</f>
        <v>5540.85</v>
      </c>
    </row>
    <row r="18" spans="1:9" x14ac:dyDescent="0.25">
      <c r="A18">
        <v>2017</v>
      </c>
      <c r="B18" t="s">
        <v>63</v>
      </c>
      <c r="C18" t="s">
        <v>55</v>
      </c>
      <c r="D18" t="s">
        <v>70</v>
      </c>
      <c r="E18" s="3">
        <v>41871</v>
      </c>
      <c r="F18" s="1">
        <v>45167</v>
      </c>
      <c r="G18" t="str">
        <f t="shared" si="0"/>
        <v>Aug</v>
      </c>
      <c r="H18">
        <f t="shared" si="1"/>
        <v>2023</v>
      </c>
      <c r="I18">
        <f>E18*(1+'Formula Practice'!$B$3)</f>
        <v>43964.55</v>
      </c>
    </row>
    <row r="19" spans="1:9" x14ac:dyDescent="0.25">
      <c r="A19">
        <v>2018</v>
      </c>
      <c r="B19" t="s">
        <v>63</v>
      </c>
      <c r="C19" t="s">
        <v>49</v>
      </c>
      <c r="D19" t="s">
        <v>71</v>
      </c>
      <c r="E19" s="3">
        <v>38161</v>
      </c>
      <c r="F19" s="1">
        <v>45182</v>
      </c>
      <c r="G19" t="str">
        <f t="shared" si="0"/>
        <v>Sep</v>
      </c>
      <c r="H19">
        <f t="shared" si="1"/>
        <v>2023</v>
      </c>
      <c r="I19">
        <f>E19*(1+'Formula Practice'!$B$3)</f>
        <v>40069.050000000003</v>
      </c>
    </row>
    <row r="20" spans="1:9" x14ac:dyDescent="0.25">
      <c r="A20">
        <v>2019</v>
      </c>
      <c r="B20" t="s">
        <v>51</v>
      </c>
      <c r="C20" t="s">
        <v>49</v>
      </c>
      <c r="D20" t="s">
        <v>72</v>
      </c>
      <c r="E20" s="3">
        <v>30436</v>
      </c>
      <c r="F20" s="1">
        <v>45197</v>
      </c>
      <c r="G20" t="str">
        <f t="shared" si="0"/>
        <v>Sep</v>
      </c>
      <c r="H20">
        <f t="shared" si="1"/>
        <v>2023</v>
      </c>
      <c r="I20">
        <f>E20*(1+'Formula Practice'!$B$3)</f>
        <v>31957.800000000003</v>
      </c>
    </row>
    <row r="21" spans="1:9" x14ac:dyDescent="0.25">
      <c r="A21">
        <v>2020</v>
      </c>
      <c r="B21" t="s">
        <v>48</v>
      </c>
      <c r="C21" t="s">
        <v>49</v>
      </c>
      <c r="D21" t="s">
        <v>73</v>
      </c>
      <c r="E21" s="3">
        <v>33953</v>
      </c>
      <c r="F21" s="1">
        <v>45212</v>
      </c>
      <c r="G21" t="str">
        <f t="shared" si="0"/>
        <v>Oct</v>
      </c>
      <c r="H21">
        <f t="shared" si="1"/>
        <v>2023</v>
      </c>
      <c r="I21">
        <f>E21*(1+'Formula Practice'!$B$3)</f>
        <v>35650.65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G25" sqref="G25"/>
    </sheetView>
  </sheetViews>
  <sheetFormatPr defaultRowHeight="15" x14ac:dyDescent="0.25"/>
  <cols>
    <col min="1" max="1" width="16" customWidth="1"/>
    <col min="2" max="2" width="20" customWidth="1"/>
    <col min="3" max="4" width="17" customWidth="1"/>
    <col min="5" max="5" width="20" customWidth="1"/>
    <col min="6" max="6" width="18" customWidth="1"/>
    <col min="7" max="8" width="20" customWidth="1"/>
    <col min="9" max="9" width="24" customWidth="1"/>
  </cols>
  <sheetData>
    <row r="1" spans="1:9" ht="32.1" customHeight="1" x14ac:dyDescent="0.25">
      <c r="A1" s="5" t="s">
        <v>74</v>
      </c>
      <c r="B1" s="5" t="s">
        <v>1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</row>
    <row r="2" spans="1:9" x14ac:dyDescent="0.25">
      <c r="A2">
        <v>3001</v>
      </c>
      <c r="B2" t="s">
        <v>82</v>
      </c>
      <c r="C2" t="s">
        <v>83</v>
      </c>
      <c r="D2">
        <v>86766</v>
      </c>
      <c r="E2" s="1">
        <v>42005</v>
      </c>
      <c r="F2">
        <f t="shared" ref="F2:F21" si="0">YEAR(E2)</f>
        <v>2015</v>
      </c>
      <c r="G2" s="7">
        <f ca="1">IF(E2&gt;TODAY(),0,DATEDIF(E2,TODAY(),"Y"))</f>
        <v>11</v>
      </c>
      <c r="H2" t="str">
        <f t="shared" ref="H2:H21" si="1">IF(D2&gt;=80000,"High","Standard")</f>
        <v>High</v>
      </c>
      <c r="I2" t="str">
        <f t="shared" ref="I2:I21" si="2">UPPER(B2)</f>
        <v>EMPLOYEE 1</v>
      </c>
    </row>
    <row r="3" spans="1:9" x14ac:dyDescent="0.25">
      <c r="A3">
        <v>3002</v>
      </c>
      <c r="B3" t="s">
        <v>84</v>
      </c>
      <c r="C3" t="s">
        <v>83</v>
      </c>
      <c r="D3">
        <v>31943</v>
      </c>
      <c r="E3" s="1">
        <v>42255</v>
      </c>
      <c r="F3">
        <f t="shared" si="0"/>
        <v>2015</v>
      </c>
      <c r="G3" s="7">
        <f t="shared" ref="G3:G21" ca="1" si="3">IF(E3&gt;TODAY(),0,DATEDIF(E3,TODAY(),"Y"))</f>
        <v>11</v>
      </c>
      <c r="H3" t="str">
        <f t="shared" si="1"/>
        <v>Standard</v>
      </c>
      <c r="I3" t="str">
        <f t="shared" si="2"/>
        <v>EMPLOYEE 2</v>
      </c>
    </row>
    <row r="4" spans="1:9" x14ac:dyDescent="0.25">
      <c r="A4">
        <v>3003</v>
      </c>
      <c r="B4" t="s">
        <v>85</v>
      </c>
      <c r="C4" t="s">
        <v>86</v>
      </c>
      <c r="D4">
        <v>63374</v>
      </c>
      <c r="E4" s="1">
        <v>42505</v>
      </c>
      <c r="F4">
        <f t="shared" si="0"/>
        <v>2016</v>
      </c>
      <c r="G4" s="7">
        <f t="shared" ca="1" si="3"/>
        <v>10</v>
      </c>
      <c r="H4" t="str">
        <f t="shared" si="1"/>
        <v>Standard</v>
      </c>
      <c r="I4" t="str">
        <f t="shared" si="2"/>
        <v>EMPLOYEE 3</v>
      </c>
    </row>
    <row r="5" spans="1:9" x14ac:dyDescent="0.25">
      <c r="A5">
        <v>3004</v>
      </c>
      <c r="B5" t="s">
        <v>87</v>
      </c>
      <c r="C5" t="s">
        <v>83</v>
      </c>
      <c r="D5">
        <v>109972</v>
      </c>
      <c r="E5" s="1">
        <v>42755</v>
      </c>
      <c r="F5">
        <f t="shared" si="0"/>
        <v>2017</v>
      </c>
      <c r="G5" s="7">
        <f t="shared" ca="1" si="3"/>
        <v>9</v>
      </c>
      <c r="H5" t="str">
        <f t="shared" si="1"/>
        <v>High</v>
      </c>
      <c r="I5" t="str">
        <f t="shared" si="2"/>
        <v>EMPLOYEE 4</v>
      </c>
    </row>
    <row r="6" spans="1:9" x14ac:dyDescent="0.25">
      <c r="A6">
        <v>3005</v>
      </c>
      <c r="B6" t="s">
        <v>88</v>
      </c>
      <c r="C6" t="s">
        <v>89</v>
      </c>
      <c r="D6">
        <v>54149</v>
      </c>
      <c r="E6" s="1">
        <v>43005</v>
      </c>
      <c r="F6">
        <f t="shared" si="0"/>
        <v>2017</v>
      </c>
      <c r="G6" s="7">
        <f t="shared" ca="1" si="3"/>
        <v>9</v>
      </c>
      <c r="H6" t="str">
        <f t="shared" si="1"/>
        <v>Standard</v>
      </c>
      <c r="I6" t="str">
        <f t="shared" si="2"/>
        <v>EMPLOYEE 5</v>
      </c>
    </row>
    <row r="7" spans="1:9" x14ac:dyDescent="0.25">
      <c r="A7">
        <v>3006</v>
      </c>
      <c r="B7" t="s">
        <v>90</v>
      </c>
      <c r="C7" t="s">
        <v>89</v>
      </c>
      <c r="D7">
        <v>78689</v>
      </c>
      <c r="E7" s="1">
        <v>43255</v>
      </c>
      <c r="F7">
        <f t="shared" si="0"/>
        <v>2018</v>
      </c>
      <c r="G7" s="7">
        <f t="shared" ca="1" si="3"/>
        <v>8</v>
      </c>
      <c r="H7" t="str">
        <f t="shared" si="1"/>
        <v>Standard</v>
      </c>
      <c r="I7" t="str">
        <f t="shared" si="2"/>
        <v>EMPLOYEE 6</v>
      </c>
    </row>
    <row r="8" spans="1:9" x14ac:dyDescent="0.25">
      <c r="A8">
        <v>3007</v>
      </c>
      <c r="B8" t="s">
        <v>91</v>
      </c>
      <c r="C8" t="s">
        <v>92</v>
      </c>
      <c r="D8">
        <v>35960</v>
      </c>
      <c r="E8" s="1">
        <v>43505</v>
      </c>
      <c r="F8">
        <f t="shared" si="0"/>
        <v>2019</v>
      </c>
      <c r="G8" s="7">
        <f t="shared" ca="1" si="3"/>
        <v>7</v>
      </c>
      <c r="H8" t="str">
        <f t="shared" si="1"/>
        <v>Standard</v>
      </c>
      <c r="I8" t="str">
        <f t="shared" si="2"/>
        <v>EMPLOYEE 7</v>
      </c>
    </row>
    <row r="9" spans="1:9" x14ac:dyDescent="0.25">
      <c r="A9">
        <v>3008</v>
      </c>
      <c r="B9" t="s">
        <v>93</v>
      </c>
      <c r="C9" t="s">
        <v>89</v>
      </c>
      <c r="D9">
        <v>91659</v>
      </c>
      <c r="E9" s="1">
        <v>43755</v>
      </c>
      <c r="F9">
        <f t="shared" si="0"/>
        <v>2019</v>
      </c>
      <c r="G9" s="7">
        <f t="shared" ca="1" si="3"/>
        <v>7</v>
      </c>
      <c r="H9" t="str">
        <f t="shared" si="1"/>
        <v>High</v>
      </c>
      <c r="I9" t="str">
        <f t="shared" si="2"/>
        <v>EMPLOYEE 8</v>
      </c>
    </row>
    <row r="10" spans="1:9" x14ac:dyDescent="0.25">
      <c r="A10">
        <v>3009</v>
      </c>
      <c r="B10" t="s">
        <v>94</v>
      </c>
      <c r="C10" t="s">
        <v>89</v>
      </c>
      <c r="D10">
        <v>90423</v>
      </c>
      <c r="E10" s="1">
        <v>44005</v>
      </c>
      <c r="F10">
        <f t="shared" si="0"/>
        <v>2020</v>
      </c>
      <c r="G10" s="7">
        <f t="shared" ca="1" si="3"/>
        <v>6</v>
      </c>
      <c r="H10" t="str">
        <f t="shared" si="1"/>
        <v>High</v>
      </c>
      <c r="I10" t="str">
        <f t="shared" si="2"/>
        <v>EMPLOYEE 9</v>
      </c>
    </row>
    <row r="11" spans="1:9" x14ac:dyDescent="0.25">
      <c r="A11">
        <v>3010</v>
      </c>
      <c r="B11" t="s">
        <v>95</v>
      </c>
      <c r="C11" t="s">
        <v>86</v>
      </c>
      <c r="D11">
        <v>107877</v>
      </c>
      <c r="E11" s="1">
        <v>44255</v>
      </c>
      <c r="F11">
        <f t="shared" si="0"/>
        <v>2021</v>
      </c>
      <c r="G11" s="7">
        <f t="shared" ca="1" si="3"/>
        <v>5</v>
      </c>
      <c r="H11" t="str">
        <f t="shared" si="1"/>
        <v>High</v>
      </c>
      <c r="I11" t="str">
        <f t="shared" si="2"/>
        <v>EMPLOYEE 10</v>
      </c>
    </row>
    <row r="12" spans="1:9" x14ac:dyDescent="0.25">
      <c r="A12">
        <v>3011</v>
      </c>
      <c r="B12" t="s">
        <v>96</v>
      </c>
      <c r="C12" t="s">
        <v>83</v>
      </c>
      <c r="D12">
        <v>107634</v>
      </c>
      <c r="E12" s="1">
        <v>44505</v>
      </c>
      <c r="F12">
        <f t="shared" si="0"/>
        <v>2021</v>
      </c>
      <c r="G12" s="7">
        <f t="shared" ca="1" si="3"/>
        <v>4</v>
      </c>
      <c r="H12" t="str">
        <f t="shared" si="1"/>
        <v>High</v>
      </c>
      <c r="I12" t="str">
        <f t="shared" si="2"/>
        <v>EMPLOYEE 11</v>
      </c>
    </row>
    <row r="13" spans="1:9" x14ac:dyDescent="0.25">
      <c r="A13">
        <v>3012</v>
      </c>
      <c r="B13" t="s">
        <v>97</v>
      </c>
      <c r="C13" t="s">
        <v>83</v>
      </c>
      <c r="D13">
        <v>35226</v>
      </c>
      <c r="E13" s="1">
        <v>44755</v>
      </c>
      <c r="F13">
        <f t="shared" si="0"/>
        <v>2022</v>
      </c>
      <c r="G13" s="7">
        <f t="shared" ca="1" si="3"/>
        <v>4</v>
      </c>
      <c r="H13" t="str">
        <f t="shared" si="1"/>
        <v>Standard</v>
      </c>
      <c r="I13" t="str">
        <f t="shared" si="2"/>
        <v>EMPLOYEE 12</v>
      </c>
    </row>
    <row r="14" spans="1:9" x14ac:dyDescent="0.25">
      <c r="A14">
        <v>3013</v>
      </c>
      <c r="B14" t="s">
        <v>98</v>
      </c>
      <c r="C14" t="s">
        <v>86</v>
      </c>
      <c r="D14">
        <v>40872</v>
      </c>
      <c r="E14" s="1">
        <v>45005</v>
      </c>
      <c r="F14">
        <f t="shared" si="0"/>
        <v>2023</v>
      </c>
      <c r="G14" s="7">
        <f t="shared" ca="1" si="3"/>
        <v>3</v>
      </c>
      <c r="H14" t="str">
        <f t="shared" si="1"/>
        <v>Standard</v>
      </c>
      <c r="I14" t="str">
        <f t="shared" si="2"/>
        <v>EMPLOYEE 13</v>
      </c>
    </row>
    <row r="15" spans="1:9" x14ac:dyDescent="0.25">
      <c r="A15">
        <v>3014</v>
      </c>
      <c r="B15" t="s">
        <v>99</v>
      </c>
      <c r="C15" t="s">
        <v>86</v>
      </c>
      <c r="D15">
        <v>55378</v>
      </c>
      <c r="E15" s="1">
        <v>45255</v>
      </c>
      <c r="F15">
        <f t="shared" si="0"/>
        <v>2023</v>
      </c>
      <c r="G15" s="7">
        <f t="shared" ca="1" si="3"/>
        <v>2</v>
      </c>
      <c r="H15" t="str">
        <f t="shared" si="1"/>
        <v>Standard</v>
      </c>
      <c r="I15" t="str">
        <f t="shared" si="2"/>
        <v>EMPLOYEE 14</v>
      </c>
    </row>
    <row r="16" spans="1:9" x14ac:dyDescent="0.25">
      <c r="A16">
        <v>3015</v>
      </c>
      <c r="B16" t="s">
        <v>100</v>
      </c>
      <c r="C16" t="s">
        <v>86</v>
      </c>
      <c r="D16">
        <v>63297</v>
      </c>
      <c r="E16" s="1">
        <v>45505</v>
      </c>
      <c r="F16">
        <f t="shared" si="0"/>
        <v>2024</v>
      </c>
      <c r="G16" s="7">
        <f t="shared" ca="1" si="3"/>
        <v>2</v>
      </c>
      <c r="H16" t="str">
        <f t="shared" si="1"/>
        <v>Standard</v>
      </c>
      <c r="I16" t="str">
        <f t="shared" si="2"/>
        <v>EMPLOYEE 15</v>
      </c>
    </row>
    <row r="17" spans="1:9" x14ac:dyDescent="0.25">
      <c r="A17">
        <v>3016</v>
      </c>
      <c r="B17" t="s">
        <v>101</v>
      </c>
      <c r="C17" t="s">
        <v>83</v>
      </c>
      <c r="D17">
        <v>114173</v>
      </c>
      <c r="E17" s="1">
        <v>45755</v>
      </c>
      <c r="F17">
        <f t="shared" si="0"/>
        <v>2025</v>
      </c>
      <c r="G17" s="7">
        <f t="shared" ca="1" si="3"/>
        <v>1</v>
      </c>
      <c r="H17" t="str">
        <f t="shared" si="1"/>
        <v>High</v>
      </c>
      <c r="I17" t="str">
        <f t="shared" si="2"/>
        <v>EMPLOYEE 16</v>
      </c>
    </row>
    <row r="18" spans="1:9" x14ac:dyDescent="0.25">
      <c r="A18">
        <v>3017</v>
      </c>
      <c r="B18" t="s">
        <v>102</v>
      </c>
      <c r="C18" t="s">
        <v>86</v>
      </c>
      <c r="D18">
        <v>86915</v>
      </c>
      <c r="E18" s="1">
        <v>46005</v>
      </c>
      <c r="F18">
        <f t="shared" si="0"/>
        <v>2025</v>
      </c>
      <c r="G18" s="7">
        <f t="shared" ca="1" si="3"/>
        <v>0</v>
      </c>
      <c r="H18" t="str">
        <f t="shared" si="1"/>
        <v>High</v>
      </c>
      <c r="I18" t="str">
        <f t="shared" si="2"/>
        <v>EMPLOYEE 17</v>
      </c>
    </row>
    <row r="19" spans="1:9" x14ac:dyDescent="0.25">
      <c r="A19">
        <v>3018</v>
      </c>
      <c r="B19" t="s">
        <v>103</v>
      </c>
      <c r="C19" t="s">
        <v>89</v>
      </c>
      <c r="D19">
        <v>116284</v>
      </c>
      <c r="E19" s="1">
        <v>46255</v>
      </c>
      <c r="F19">
        <f t="shared" si="0"/>
        <v>2026</v>
      </c>
      <c r="G19" s="7">
        <f t="shared" ca="1" si="3"/>
        <v>0</v>
      </c>
      <c r="H19" t="str">
        <f t="shared" si="1"/>
        <v>High</v>
      </c>
      <c r="I19" t="str">
        <f t="shared" si="2"/>
        <v>EMPLOYEE 18</v>
      </c>
    </row>
    <row r="20" spans="1:9" x14ac:dyDescent="0.25">
      <c r="A20">
        <v>3019</v>
      </c>
      <c r="B20" t="s">
        <v>104</v>
      </c>
      <c r="C20" t="s">
        <v>92</v>
      </c>
      <c r="D20">
        <v>116283</v>
      </c>
      <c r="E20" s="1">
        <v>46505</v>
      </c>
      <c r="F20">
        <f t="shared" si="0"/>
        <v>2027</v>
      </c>
      <c r="G20" s="7">
        <f t="shared" ca="1" si="3"/>
        <v>0</v>
      </c>
      <c r="H20" t="str">
        <f t="shared" si="1"/>
        <v>High</v>
      </c>
      <c r="I20" t="str">
        <f t="shared" si="2"/>
        <v>EMPLOYEE 19</v>
      </c>
    </row>
    <row r="21" spans="1:9" x14ac:dyDescent="0.25">
      <c r="A21">
        <v>3020</v>
      </c>
      <c r="B21" t="s">
        <v>105</v>
      </c>
      <c r="C21" t="s">
        <v>92</v>
      </c>
      <c r="D21">
        <v>99924</v>
      </c>
      <c r="E21" s="1">
        <v>46755</v>
      </c>
      <c r="F21">
        <f t="shared" si="0"/>
        <v>2028</v>
      </c>
      <c r="G21" s="7">
        <f t="shared" ca="1" si="3"/>
        <v>0</v>
      </c>
      <c r="H21" t="str">
        <f t="shared" si="1"/>
        <v>High</v>
      </c>
      <c r="I21" t="str">
        <f t="shared" si="2"/>
        <v>EMPLOYEE 20</v>
      </c>
    </row>
  </sheetData>
  <conditionalFormatting sqref="D2:D21">
    <cfRule type="dataBar" priority="1">
      <dataBar>
        <cfvo type="min"/>
        <cfvo type="max"/>
        <color rgb="FF0D766E"/>
      </dataBar>
    </cfRule>
    <cfRule type="dataBar" priority="2">
      <dataBar>
        <cfvo type="min"/>
        <cfvo type="max"/>
        <color rgb="FF0D766E"/>
      </dataBar>
      <extLst>
        <ext xmlns:x14="http://schemas.microsoft.com/office/spreadsheetml/2009/9/main" uri="{B025F937-C7B1-47D3-B67F-A62EFF666E3E}">
          <x14:id>{9B68F0BF-1563-59A5-22BA-29BB0E46C78A}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68F0BF-1563-59A5-22BA-29BB0E46C78A}">
            <x14:dataBar>
              <x14:cfvo type="min"/>
              <x14:cfvo type="max"/>
              <x14:negativeFillColor auto="1"/>
              <x14:axisColor auto="1"/>
            </x14:dataBar>
          </x14:cfRule>
          <xm:sqref>D2:D21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"/>
  <sheetViews>
    <sheetView zoomScale="66" zoomScaleNormal="66" workbookViewId="0">
      <pane ySplit="1" topLeftCell="A2" activePane="bottomLeft" state="frozen"/>
      <selection pane="bottomLeft" activeCell="S57" sqref="S54:S57"/>
    </sheetView>
  </sheetViews>
  <sheetFormatPr defaultRowHeight="15" x14ac:dyDescent="0.25"/>
  <cols>
    <col min="1" max="1" width="39" customWidth="1"/>
    <col min="2" max="2" width="27" customWidth="1"/>
    <col min="3" max="3" width="37" customWidth="1"/>
    <col min="4" max="4" width="23" customWidth="1"/>
    <col min="6" max="9" width="19" customWidth="1"/>
  </cols>
  <sheetData>
    <row r="1" spans="1:9" ht="30" customHeight="1" x14ac:dyDescent="0.25">
      <c r="A1" s="9" t="s">
        <v>202</v>
      </c>
      <c r="B1" s="5" t="s">
        <v>106</v>
      </c>
      <c r="C1" s="5" t="s">
        <v>107</v>
      </c>
      <c r="D1" s="5" t="s">
        <v>108</v>
      </c>
      <c r="F1" s="6" t="s">
        <v>109</v>
      </c>
      <c r="G1" s="6" t="s">
        <v>7</v>
      </c>
      <c r="H1" s="6" t="s">
        <v>8</v>
      </c>
      <c r="I1" s="6" t="s">
        <v>0</v>
      </c>
    </row>
    <row r="2" spans="1:9" x14ac:dyDescent="0.25">
      <c r="A2" t="s">
        <v>110</v>
      </c>
      <c r="B2">
        <v>40</v>
      </c>
      <c r="C2" t="s">
        <v>111</v>
      </c>
      <c r="D2" t="s">
        <v>112</v>
      </c>
      <c r="F2" t="str" cm="1">
        <f t="array" ref="F2:F3">_xlfn._xlws.FILTER('Students Grade'!B2:B21,'Students Grade'!H2:H21&gt;80,"No matches")</f>
        <v>Student 12</v>
      </c>
      <c r="G2" cm="1">
        <f t="array" ref="G2:G3">_xlfn._xlws.FILTER('Students Grade'!H2:H21,'Students Grade'!H2:H21&gt;80,"")</f>
        <v>84.333333333333329</v>
      </c>
      <c r="H2" t="str" cm="1">
        <f t="array" ref="H2:H3">_xlfn._xlws.FILTER('Students Grade'!I2:I21,'Students Grade'!H2:H21&gt;80,"")</f>
        <v>A</v>
      </c>
      <c r="I2" cm="1">
        <f t="array" ref="I2:I3">_xlfn._xlws.FILTER('Students Grade'!A2:A21,'Students Grade'!H2:H21&gt;80,"")</f>
        <v>1012</v>
      </c>
    </row>
    <row r="3" spans="1:9" x14ac:dyDescent="0.25">
      <c r="A3" t="s">
        <v>113</v>
      </c>
      <c r="B3" s="4">
        <v>0.05</v>
      </c>
      <c r="C3" t="s">
        <v>114</v>
      </c>
      <c r="D3" t="s">
        <v>112</v>
      </c>
      <c r="F3" t="str">
        <v>Student 13</v>
      </c>
      <c r="G3">
        <v>95</v>
      </c>
      <c r="H3" t="str">
        <v>A</v>
      </c>
      <c r="I3">
        <v>1013</v>
      </c>
    </row>
    <row r="5" spans="1:9" x14ac:dyDescent="0.25">
      <c r="A5" t="s">
        <v>115</v>
      </c>
      <c r="B5">
        <f>COUNTIF('Students Grade'!C2:C21,"&gt;60")</f>
        <v>19</v>
      </c>
      <c r="C5" t="s">
        <v>116</v>
      </c>
      <c r="D5" t="s">
        <v>117</v>
      </c>
    </row>
    <row r="6" spans="1:9" x14ac:dyDescent="0.25">
      <c r="A6" t="s">
        <v>118</v>
      </c>
      <c r="B6">
        <f>COUNTIFS('Students Grade'!C2:C21,"&gt;60",'Students Grade'!D2:D21,"&gt;60",'Students Grade'!E2:E21,"&gt;60")</f>
        <v>6</v>
      </c>
      <c r="C6" t="s">
        <v>116</v>
      </c>
      <c r="D6" t="s">
        <v>119</v>
      </c>
    </row>
    <row r="7" spans="1:9" x14ac:dyDescent="0.25">
      <c r="A7" t="s">
        <v>120</v>
      </c>
      <c r="B7">
        <f>COUNTIFS('Students Grade'!C2:C21,"&gt;50",'Students Grade'!D2:D21,"&gt;50")</f>
        <v>15</v>
      </c>
      <c r="C7" t="s">
        <v>116</v>
      </c>
      <c r="D7" t="s">
        <v>119</v>
      </c>
    </row>
    <row r="8" spans="1:9" x14ac:dyDescent="0.25">
      <c r="A8" t="s">
        <v>121</v>
      </c>
      <c r="B8">
        <f>AVERAGE('Students Grade'!C2:C21)</f>
        <v>80.2</v>
      </c>
      <c r="C8" t="s">
        <v>116</v>
      </c>
      <c r="D8" t="s">
        <v>122</v>
      </c>
    </row>
    <row r="9" spans="1:9" x14ac:dyDescent="0.25">
      <c r="A9" t="s">
        <v>123</v>
      </c>
      <c r="B9">
        <f>INDEX('Students Grade'!C2:C21,MATCH(1005,'Students Grade'!A2:A21,0))</f>
        <v>68</v>
      </c>
      <c r="C9" t="s">
        <v>116</v>
      </c>
      <c r="D9" t="s">
        <v>124</v>
      </c>
    </row>
    <row r="10" spans="1:9" x14ac:dyDescent="0.25">
      <c r="A10" t="s">
        <v>125</v>
      </c>
      <c r="B10" t="str">
        <f>VLOOKUP(1003,'Students Grade'!A2:B21,2,FALSE)</f>
        <v>Student 3</v>
      </c>
      <c r="C10" t="s">
        <v>116</v>
      </c>
      <c r="D10" t="s">
        <v>126</v>
      </c>
    </row>
    <row r="11" spans="1:9" x14ac:dyDescent="0.25">
      <c r="A11" t="s">
        <v>127</v>
      </c>
      <c r="B11">
        <f>_xlfn.XLOOKUP(1005,'Students Grade'!A2:A21,'Students Grade'!E2:E21,"Not found")</f>
        <v>84</v>
      </c>
      <c r="C11" t="s">
        <v>116</v>
      </c>
      <c r="D11" t="s">
        <v>128</v>
      </c>
    </row>
    <row r="12" spans="1:9" x14ac:dyDescent="0.25">
      <c r="A12" t="s">
        <v>129</v>
      </c>
      <c r="B12">
        <f>_xlfn.XMATCH(1010,'Students Grade'!A2:A21,0)</f>
        <v>10</v>
      </c>
      <c r="C12" t="s">
        <v>116</v>
      </c>
      <c r="D12" t="s">
        <v>130</v>
      </c>
    </row>
    <row r="13" spans="1:9" x14ac:dyDescent="0.25">
      <c r="A13" t="s">
        <v>131</v>
      </c>
      <c r="B13">
        <f>COUNTIF('Students Grade'!H2:H21,"&gt;80")</f>
        <v>2</v>
      </c>
      <c r="C13" t="s">
        <v>116</v>
      </c>
      <c r="D13" t="s">
        <v>117</v>
      </c>
    </row>
    <row r="14" spans="1:9" x14ac:dyDescent="0.25">
      <c r="A14" t="s">
        <v>132</v>
      </c>
      <c r="B14">
        <f>SUMIF('Sales Data'!B2:B21,"Keyboard",'Sales Data'!E2:E21)</f>
        <v>165970</v>
      </c>
      <c r="C14" t="s">
        <v>116</v>
      </c>
      <c r="D14" t="s">
        <v>133</v>
      </c>
    </row>
    <row r="15" spans="1:9" x14ac:dyDescent="0.25">
      <c r="A15" t="s">
        <v>134</v>
      </c>
      <c r="B15">
        <f>SUMIFS('Sales Data'!E2:E21,'Sales Data'!C2:C21,"East")</f>
        <v>173932</v>
      </c>
      <c r="C15" t="s">
        <v>116</v>
      </c>
      <c r="D15" t="s">
        <v>135</v>
      </c>
    </row>
    <row r="16" spans="1:9" x14ac:dyDescent="0.25">
      <c r="A16" t="s">
        <v>136</v>
      </c>
      <c r="B16">
        <f>AVERAGEIFS('Sales Data'!E2:E21,'Sales Data'!C2:C21,"East")</f>
        <v>21741.5</v>
      </c>
      <c r="C16" t="s">
        <v>116</v>
      </c>
      <c r="D16" t="s">
        <v>137</v>
      </c>
      <c r="F16" s="6" t="s">
        <v>138</v>
      </c>
      <c r="G16" s="6" t="s">
        <v>40</v>
      </c>
      <c r="H16" s="6" t="s">
        <v>38</v>
      </c>
      <c r="I16" s="6" t="s">
        <v>36</v>
      </c>
    </row>
    <row r="17" spans="1:9" x14ac:dyDescent="0.25">
      <c r="A17" t="s">
        <v>139</v>
      </c>
      <c r="B17">
        <f>VLOOKUP(2005,'Sales Data'!A2:E21,5,FALSE)</f>
        <v>43388</v>
      </c>
      <c r="C17" t="s">
        <v>116</v>
      </c>
      <c r="D17" t="s">
        <v>126</v>
      </c>
      <c r="F17" t="str" cm="1">
        <f t="array" ref="F17:F26">_xlfn._xlws.FILTER('Sales Data'!B2:B21,'Sales Data'!E2:E21&gt;30000,"")</f>
        <v>Keyboard</v>
      </c>
      <c r="G17" cm="1">
        <f t="array" ref="G17:G26">_xlfn._xlws.FILTER('Sales Data'!E2:E21,'Sales Data'!E2:E21&gt;30000,"")</f>
        <v>43388</v>
      </c>
      <c r="H17" t="str" cm="1">
        <f t="array" ref="H17:H26">_xlfn._xlws.FILTER('Sales Data'!C2:C21,'Sales Data'!E2:E21&gt;30000,"")</f>
        <v>North</v>
      </c>
      <c r="I17" cm="1">
        <f t="array" ref="I17:I26">_xlfn._xlws.FILTER('Sales Data'!A2:A21,'Sales Data'!E2:E21&gt;30000,"")</f>
        <v>2005</v>
      </c>
    </row>
    <row r="18" spans="1:9" x14ac:dyDescent="0.25">
      <c r="A18" t="s">
        <v>140</v>
      </c>
      <c r="B18">
        <f>SUMIFS('Sales Data'!E2:E21,'Sales Data'!B2:B21,"Keyboard",'Sales Data'!C2:C21,"East")</f>
        <v>80349</v>
      </c>
      <c r="C18" t="s">
        <v>116</v>
      </c>
      <c r="D18" t="s">
        <v>135</v>
      </c>
      <c r="F18" t="str">
        <v>Mouse</v>
      </c>
      <c r="G18">
        <v>32058</v>
      </c>
      <c r="H18" t="str">
        <v>East</v>
      </c>
      <c r="I18">
        <v>2007</v>
      </c>
    </row>
    <row r="19" spans="1:9" x14ac:dyDescent="0.25">
      <c r="A19" t="s">
        <v>141</v>
      </c>
      <c r="B19">
        <f>INDEX('Sales Data'!E2:E21,MATCH("Keyboard",'Sales Data'!B2:B21,0))</f>
        <v>7048</v>
      </c>
      <c r="C19" t="s">
        <v>116</v>
      </c>
      <c r="D19" t="s">
        <v>124</v>
      </c>
      <c r="F19" t="str">
        <v>Keyboard</v>
      </c>
      <c r="G19">
        <v>46429</v>
      </c>
      <c r="H19" t="str">
        <v>East</v>
      </c>
      <c r="I19">
        <v>2008</v>
      </c>
    </row>
    <row r="20" spans="1:9" x14ac:dyDescent="0.25">
      <c r="A20" t="s">
        <v>142</v>
      </c>
      <c r="B20">
        <f>_xlfn.XLOOKUP(3008,'Employee Data'!A2:A21,'Employee Data'!D2:D21,"Not found")</f>
        <v>91659</v>
      </c>
      <c r="C20" t="s">
        <v>116</v>
      </c>
      <c r="D20" t="s">
        <v>128</v>
      </c>
      <c r="F20" t="str">
        <v>Keyboard</v>
      </c>
      <c r="G20">
        <v>35185</v>
      </c>
      <c r="H20" t="str">
        <v>South</v>
      </c>
      <c r="I20">
        <v>2010</v>
      </c>
    </row>
    <row r="21" spans="1:9" x14ac:dyDescent="0.25">
      <c r="A21" t="s">
        <v>143</v>
      </c>
      <c r="B21">
        <f>COUNTIF('Employee Data'!C2:C21,"HR")</f>
        <v>6</v>
      </c>
      <c r="C21" t="s">
        <v>116</v>
      </c>
      <c r="D21" t="s">
        <v>117</v>
      </c>
      <c r="F21" t="str">
        <v>Keyboard</v>
      </c>
      <c r="G21">
        <v>33920</v>
      </c>
      <c r="H21" t="str">
        <v>East</v>
      </c>
      <c r="I21">
        <v>2011</v>
      </c>
    </row>
    <row r="22" spans="1:9" x14ac:dyDescent="0.25">
      <c r="A22" t="s">
        <v>144</v>
      </c>
      <c r="B22">
        <f>AVERAGEIFS('Employee Data'!D2:D21,'Employee Data'!C2:C21,"Finance")</f>
        <v>80952.333333333328</v>
      </c>
      <c r="C22" t="s">
        <v>116</v>
      </c>
      <c r="D22" t="s">
        <v>137</v>
      </c>
      <c r="F22" t="str">
        <v>Monitor</v>
      </c>
      <c r="G22">
        <v>35611</v>
      </c>
      <c r="H22" t="str">
        <v>North</v>
      </c>
      <c r="I22">
        <v>2012</v>
      </c>
    </row>
    <row r="23" spans="1:9" x14ac:dyDescent="0.25">
      <c r="A23" t="s">
        <v>145</v>
      </c>
      <c r="B23">
        <f>YEAR(INDEX('Employee Data'!E2:E21,MATCH(3001,'Employee Data'!A2:A21,0)))</f>
        <v>2015</v>
      </c>
      <c r="C23" t="s">
        <v>116</v>
      </c>
      <c r="D23" t="s">
        <v>146</v>
      </c>
      <c r="F23" t="str">
        <v>Monitor</v>
      </c>
      <c r="G23">
        <v>41871</v>
      </c>
      <c r="H23" t="str">
        <v>North</v>
      </c>
      <c r="I23">
        <v>2017</v>
      </c>
    </row>
    <row r="24" spans="1:9" x14ac:dyDescent="0.25">
      <c r="A24" t="s">
        <v>147</v>
      </c>
      <c r="B24">
        <f ca="1">INDIRECT("'Employee Data'!D2")</f>
        <v>86766</v>
      </c>
      <c r="C24" t="s">
        <v>116</v>
      </c>
      <c r="D24" t="s">
        <v>148</v>
      </c>
      <c r="F24" t="str">
        <v>Monitor</v>
      </c>
      <c r="G24">
        <v>38161</v>
      </c>
      <c r="H24" t="str">
        <v>West</v>
      </c>
      <c r="I24">
        <v>2018</v>
      </c>
    </row>
    <row r="25" spans="1:9" x14ac:dyDescent="0.25">
      <c r="A25" t="s">
        <v>149</v>
      </c>
      <c r="B25">
        <f ca="1">OFFSET('Employee Data'!D2,1,0)</f>
        <v>31943</v>
      </c>
      <c r="C25" t="s">
        <v>116</v>
      </c>
      <c r="D25" t="s">
        <v>150</v>
      </c>
      <c r="F25" t="str">
        <v>Mouse</v>
      </c>
      <c r="G25">
        <v>30436</v>
      </c>
      <c r="H25" t="str">
        <v>West</v>
      </c>
      <c r="I25">
        <v>2019</v>
      </c>
    </row>
    <row r="26" spans="1:9" x14ac:dyDescent="0.25">
      <c r="A26" t="s">
        <v>151</v>
      </c>
      <c r="B26">
        <f ca="1">TODAY()</f>
        <v>46323</v>
      </c>
      <c r="C26" t="s">
        <v>116</v>
      </c>
      <c r="D26" t="s">
        <v>152</v>
      </c>
      <c r="F26" t="str">
        <v>Printer</v>
      </c>
      <c r="G26">
        <v>33953</v>
      </c>
      <c r="H26" t="str">
        <v>West</v>
      </c>
      <c r="I26">
        <v>2020</v>
      </c>
    </row>
    <row r="27" spans="1:9" x14ac:dyDescent="0.25">
      <c r="A27" t="s">
        <v>153</v>
      </c>
      <c r="B27" s="7">
        <f ca="1">YEAR(TODAY())</f>
        <v>2026</v>
      </c>
      <c r="C27" t="s">
        <v>116</v>
      </c>
      <c r="D27" t="s">
        <v>154</v>
      </c>
    </row>
    <row r="28" spans="1:9" x14ac:dyDescent="0.25">
      <c r="A28" t="s">
        <v>155</v>
      </c>
      <c r="B28">
        <f>ROUND(AVERAGE('Students Grade'!C2:C21),2)</f>
        <v>80.2</v>
      </c>
      <c r="C28" t="s">
        <v>116</v>
      </c>
      <c r="D28" t="s">
        <v>156</v>
      </c>
    </row>
    <row r="29" spans="1:9" x14ac:dyDescent="0.25">
      <c r="A29" t="s">
        <v>157</v>
      </c>
      <c r="B29" t="str">
        <f>LEFT('Students Grade'!B2,7)</f>
        <v>Student</v>
      </c>
      <c r="C29" t="s">
        <v>116</v>
      </c>
      <c r="D29" t="s">
        <v>158</v>
      </c>
    </row>
    <row r="30" spans="1:9" x14ac:dyDescent="0.25">
      <c r="A30" t="s">
        <v>159</v>
      </c>
      <c r="B30">
        <f>LEN('Students Grade'!B2)</f>
        <v>9</v>
      </c>
      <c r="C30" t="s">
        <v>116</v>
      </c>
      <c r="D30" t="s">
        <v>160</v>
      </c>
    </row>
    <row r="31" spans="1:9" x14ac:dyDescent="0.25">
      <c r="A31" t="s">
        <v>161</v>
      </c>
      <c r="B31" t="str">
        <f>TEXT('Students Grade'!F2,"dd-mmm-yyyy")</f>
        <v>01-Jan-2018</v>
      </c>
      <c r="C31" t="s">
        <v>116</v>
      </c>
      <c r="D31" t="s">
        <v>162</v>
      </c>
    </row>
    <row r="32" spans="1:9" x14ac:dyDescent="0.25">
      <c r="A32" t="s">
        <v>163</v>
      </c>
      <c r="B32">
        <f>COUNTIF('Students Grade'!C2:C21,"&gt;80")</f>
        <v>10</v>
      </c>
      <c r="C32" t="s">
        <v>116</v>
      </c>
      <c r="D32" t="s">
        <v>117</v>
      </c>
      <c r="F32" s="6" t="s">
        <v>164</v>
      </c>
      <c r="G32" s="6">
        <v>3008</v>
      </c>
      <c r="H32" s="6" t="s">
        <v>76</v>
      </c>
    </row>
    <row r="33" spans="1:8" x14ac:dyDescent="0.25">
      <c r="A33" t="s">
        <v>165</v>
      </c>
      <c r="B33">
        <f>SUM('Sales Data'!E2:E21)</f>
        <v>507725</v>
      </c>
      <c r="C33" t="s">
        <v>116</v>
      </c>
      <c r="D33" t="s">
        <v>166</v>
      </c>
      <c r="H33">
        <f>_xlfn.XLOOKUP(G32,'Employee Data'!A2:A21,'Employee Data'!D2:D21,"Not found")</f>
        <v>91659</v>
      </c>
    </row>
    <row r="34" spans="1:8" x14ac:dyDescent="0.25">
      <c r="A34" t="s">
        <v>167</v>
      </c>
      <c r="B34">
        <f>MAX('Employee Data'!D2:D21)</f>
        <v>116284</v>
      </c>
      <c r="C34" t="s">
        <v>116</v>
      </c>
      <c r="D34" t="s">
        <v>168</v>
      </c>
    </row>
    <row r="36" spans="1:8" x14ac:dyDescent="0.25">
      <c r="A36" t="s">
        <v>169</v>
      </c>
      <c r="B36" t="str">
        <f>IF('Students Grade'!C2&gt;=$B$2,"Pass","Fail")</f>
        <v>Pass</v>
      </c>
      <c r="C36" t="s">
        <v>170</v>
      </c>
      <c r="D36" t="s">
        <v>171</v>
      </c>
    </row>
    <row r="37" spans="1:8" x14ac:dyDescent="0.25">
      <c r="A37" t="s">
        <v>172</v>
      </c>
      <c r="B37" t="str">
        <f>IF('Students Grade'!H2&gt;=90,"A+",IF('Students Grade'!H2&gt;=80,"A",IF('Students Grade'!H2&gt;=60,"B","C")))</f>
        <v>B</v>
      </c>
      <c r="C37" t="s">
        <v>170</v>
      </c>
      <c r="D37" t="s">
        <v>173</v>
      </c>
    </row>
    <row r="38" spans="1:8" x14ac:dyDescent="0.25">
      <c r="A38" t="s">
        <v>174</v>
      </c>
      <c r="B38" t="str">
        <f>IF(AND('Students Grade'!C2&gt;80,'Students Grade'!D2&gt;80),"Yes","No")</f>
        <v>No</v>
      </c>
      <c r="C38" t="s">
        <v>170</v>
      </c>
      <c r="D38" t="s">
        <v>175</v>
      </c>
    </row>
    <row r="39" spans="1:8" x14ac:dyDescent="0.25">
      <c r="A39" t="s">
        <v>176</v>
      </c>
      <c r="B39" t="str">
        <f>IF(OR('Students Grade'!C2&gt;80,'Students Grade'!E2&gt;80),"Yes","No")</f>
        <v>No</v>
      </c>
      <c r="C39" t="s">
        <v>170</v>
      </c>
      <c r="D39" t="s">
        <v>177</v>
      </c>
    </row>
    <row r="40" spans="1:8" x14ac:dyDescent="0.25">
      <c r="A40" t="s">
        <v>178</v>
      </c>
      <c r="B40">
        <f>_xlfn.XLOOKUP(3005,'Employee Data'!A2:A21,'Employee Data'!D2:D21,"Not found")</f>
        <v>54149</v>
      </c>
      <c r="C40" t="s">
        <v>170</v>
      </c>
      <c r="D40" t="s">
        <v>128</v>
      </c>
    </row>
    <row r="41" spans="1:8" x14ac:dyDescent="0.25">
      <c r="A41" t="s">
        <v>179</v>
      </c>
      <c r="B41">
        <f>_xlfn.XMATCH(3005,'Employee Data'!A2:A21,0)</f>
        <v>5</v>
      </c>
      <c r="C41" t="s">
        <v>170</v>
      </c>
      <c r="D41" t="s">
        <v>130</v>
      </c>
    </row>
    <row r="42" spans="1:8" x14ac:dyDescent="0.25">
      <c r="A42" t="s">
        <v>180</v>
      </c>
      <c r="B42">
        <f>INDEX('Employee Data'!D2:D21,MATCH(3005,'Employee Data'!A2:A21,0))</f>
        <v>54149</v>
      </c>
      <c r="C42" t="s">
        <v>170</v>
      </c>
      <c r="D42" t="s">
        <v>124</v>
      </c>
    </row>
    <row r="43" spans="1:8" x14ac:dyDescent="0.25">
      <c r="A43" t="s">
        <v>181</v>
      </c>
      <c r="B43">
        <f>COUNTIFS('Sales Data'!C2:C21,"East",'Sales Data'!E2:E21,"&gt;10000")</f>
        <v>6</v>
      </c>
      <c r="C43" t="s">
        <v>170</v>
      </c>
      <c r="D43" t="s">
        <v>119</v>
      </c>
    </row>
    <row r="44" spans="1:8" x14ac:dyDescent="0.25">
      <c r="A44" t="s">
        <v>182</v>
      </c>
      <c r="B44">
        <f>IFERROR(AVERAGEIFS('Sales Data'!E2:E21,'Sales Data'!B2:B21,"Keyboard",'Sales Data'!C2:C21,"East"),0)</f>
        <v>40174.5</v>
      </c>
      <c r="C44" t="s">
        <v>170</v>
      </c>
      <c r="D44" t="s">
        <v>137</v>
      </c>
    </row>
    <row r="45" spans="1:8" x14ac:dyDescent="0.25">
      <c r="A45" t="s">
        <v>183</v>
      </c>
      <c r="B45" t="str">
        <f>LEFT('Students Grade'!B2,7)</f>
        <v>Student</v>
      </c>
      <c r="C45" t="s">
        <v>170</v>
      </c>
      <c r="D45" t="s">
        <v>158</v>
      </c>
    </row>
    <row r="46" spans="1:8" x14ac:dyDescent="0.25">
      <c r="A46" t="s">
        <v>184</v>
      </c>
      <c r="B46">
        <f>FIND("Student",'Students Grade'!B2)</f>
        <v>1</v>
      </c>
      <c r="C46" t="s">
        <v>170</v>
      </c>
      <c r="D46" t="s">
        <v>185</v>
      </c>
    </row>
    <row r="47" spans="1:8" x14ac:dyDescent="0.25">
      <c r="A47" t="s">
        <v>186</v>
      </c>
      <c r="B47" t="str">
        <f>CONCATENATE('Students Grade'!B2," - ",'Students Grade'!A2)</f>
        <v>Student 1 - 1001</v>
      </c>
      <c r="C47" t="s">
        <v>170</v>
      </c>
      <c r="D47" t="s">
        <v>187</v>
      </c>
    </row>
    <row r="48" spans="1:8" x14ac:dyDescent="0.25">
      <c r="A48" t="s">
        <v>188</v>
      </c>
      <c r="B48">
        <f>MONTH('Sales Data'!F2)</f>
        <v>1</v>
      </c>
      <c r="C48" t="s">
        <v>170</v>
      </c>
      <c r="D48" t="s">
        <v>189</v>
      </c>
    </row>
    <row r="49" spans="1:9" x14ac:dyDescent="0.25">
      <c r="A49" t="s">
        <v>190</v>
      </c>
      <c r="B49">
        <f>DAY('Sales Data'!F2)</f>
        <v>1</v>
      </c>
      <c r="C49" t="s">
        <v>170</v>
      </c>
      <c r="D49" t="s">
        <v>191</v>
      </c>
    </row>
    <row r="50" spans="1:9" x14ac:dyDescent="0.25">
      <c r="A50" t="s">
        <v>192</v>
      </c>
      <c r="B50">
        <f>'Sales Data'!F3-'Sales Data'!F2</f>
        <v>15</v>
      </c>
      <c r="C50" t="s">
        <v>170</v>
      </c>
      <c r="D50" t="s">
        <v>193</v>
      </c>
    </row>
    <row r="51" spans="1:9" x14ac:dyDescent="0.25">
      <c r="A51" t="s">
        <v>194</v>
      </c>
      <c r="B51">
        <f>ROUND(AVERAGE('Students Grade'!C2:E21),1)</f>
        <v>70.400000000000006</v>
      </c>
      <c r="C51" t="s">
        <v>170</v>
      </c>
      <c r="D51" t="s">
        <v>156</v>
      </c>
    </row>
    <row r="52" spans="1:9" x14ac:dyDescent="0.25">
      <c r="A52" t="s">
        <v>195</v>
      </c>
      <c r="B52">
        <f>SUM('Students Grade'!C2:E2)</f>
        <v>185</v>
      </c>
      <c r="C52" t="s">
        <v>170</v>
      </c>
      <c r="D52" t="s">
        <v>166</v>
      </c>
    </row>
    <row r="53" spans="1:9" x14ac:dyDescent="0.25">
      <c r="A53" t="s">
        <v>196</v>
      </c>
      <c r="B53">
        <f>MAX('Students Grade'!D2:D21)</f>
        <v>92</v>
      </c>
      <c r="C53" t="s">
        <v>170</v>
      </c>
      <c r="D53" t="s">
        <v>168</v>
      </c>
    </row>
    <row r="54" spans="1:9" x14ac:dyDescent="0.25">
      <c r="A54" t="s">
        <v>197</v>
      </c>
      <c r="B54" cm="1">
        <f t="array" ref="B54:I55">_xlfn._xlws.FILTER('Students Grade'!A2:H21,'Students Grade'!H2:H21&gt;80,"No students")</f>
        <v>1012</v>
      </c>
      <c r="C54" t="str">
        <v>Student 12</v>
      </c>
      <c r="D54">
        <v>85</v>
      </c>
      <c r="E54">
        <v>89</v>
      </c>
      <c r="F54">
        <v>79</v>
      </c>
      <c r="G54">
        <v>45081</v>
      </c>
      <c r="H54">
        <v>253</v>
      </c>
      <c r="I54">
        <v>84.333333333333329</v>
      </c>
    </row>
    <row r="55" spans="1:9" x14ac:dyDescent="0.25">
      <c r="B55">
        <v>1013</v>
      </c>
      <c r="C55" t="str">
        <v>Student 13</v>
      </c>
      <c r="D55">
        <v>98</v>
      </c>
      <c r="E55">
        <v>90</v>
      </c>
      <c r="F55">
        <v>97</v>
      </c>
      <c r="G55">
        <v>45261</v>
      </c>
      <c r="H55">
        <v>285</v>
      </c>
      <c r="I55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zoomScale="61" workbookViewId="0">
      <pane ySplit="1" topLeftCell="A2" activePane="bottomLeft" state="frozen"/>
      <selection pane="bottomLeft" activeCell="K30" sqref="K30"/>
    </sheetView>
  </sheetViews>
  <sheetFormatPr defaultRowHeight="15" x14ac:dyDescent="0.25"/>
  <cols>
    <col min="1" max="1" width="23" customWidth="1"/>
    <col min="2" max="2" width="38" customWidth="1"/>
    <col min="3" max="3" width="23" customWidth="1"/>
    <col min="4" max="4" width="18" customWidth="1"/>
    <col min="6" max="6" width="29" customWidth="1"/>
    <col min="7" max="7" width="46" customWidth="1"/>
  </cols>
  <sheetData>
    <row r="1" spans="1:7" ht="29.1" customHeight="1" x14ac:dyDescent="0.25">
      <c r="A1" s="8" t="s">
        <v>37</v>
      </c>
      <c r="B1" s="11" t="s">
        <v>204</v>
      </c>
      <c r="C1" s="8" t="s">
        <v>198</v>
      </c>
      <c r="D1" s="8" t="s">
        <v>199</v>
      </c>
      <c r="F1" t="s">
        <v>200</v>
      </c>
      <c r="G1" t="s">
        <v>201</v>
      </c>
    </row>
    <row r="2" spans="1:7" x14ac:dyDescent="0.25">
      <c r="A2" t="s">
        <v>45</v>
      </c>
      <c r="B2" s="10">
        <v>800</v>
      </c>
      <c r="C2">
        <f>SUMIF('Sales Data'!$B$2:$B$21,A2,'Sales Data'!$E$2:$E$21)</f>
        <v>165970</v>
      </c>
      <c r="D2">
        <f>COUNTIF('Sales Data'!$B$2:$B$21,A2)</f>
        <v>5</v>
      </c>
      <c r="F2" t="s">
        <v>45</v>
      </c>
      <c r="G2">
        <f>VLOOKUP(F2,$A$2:$B$6,2,FALSE)</f>
        <v>800</v>
      </c>
    </row>
    <row r="3" spans="1:7" x14ac:dyDescent="0.25">
      <c r="A3" t="s">
        <v>48</v>
      </c>
      <c r="B3">
        <v>12000</v>
      </c>
      <c r="C3">
        <f>SUMIF('Sales Data'!$B$2:$B$21,A3,'Sales Data'!$E$2:$E$21)</f>
        <v>76391</v>
      </c>
      <c r="D3">
        <f>COUNTIF('Sales Data'!$B$2:$B$21,A3)</f>
        <v>4</v>
      </c>
      <c r="F3" s="10" t="s">
        <v>203</v>
      </c>
      <c r="G3">
        <f>IFERROR(IF(VLOOKUP(F3,$A$2:$B$6,2,FALSE)="","Price not supplied",VLOOKUP(F3,$A$2:$B$6,2,FALSE)),"Product not found")</f>
        <v>12000</v>
      </c>
    </row>
    <row r="4" spans="1:7" x14ac:dyDescent="0.25">
      <c r="A4" t="s">
        <v>51</v>
      </c>
      <c r="B4">
        <v>500</v>
      </c>
      <c r="C4">
        <f>SUMIF('Sales Data'!$B$2:$B$21,A4,'Sales Data'!$E$2:$E$21)</f>
        <v>111200</v>
      </c>
      <c r="D4">
        <f>COUNTIF('Sales Data'!$B$2:$B$21,A4)</f>
        <v>5</v>
      </c>
    </row>
    <row r="5" spans="1:7" x14ac:dyDescent="0.25">
      <c r="A5" t="s">
        <v>63</v>
      </c>
      <c r="B5">
        <v>15000</v>
      </c>
      <c r="C5">
        <f>SUMIF('Sales Data'!$B$2:$B$21,A5,'Sales Data'!$E$2:$E$21)</f>
        <v>115643</v>
      </c>
      <c r="D5">
        <f>COUNTIF('Sales Data'!$B$2:$B$21,A5)</f>
        <v>3</v>
      </c>
    </row>
    <row r="6" spans="1:7" x14ac:dyDescent="0.25">
      <c r="A6" t="s">
        <v>65</v>
      </c>
      <c r="B6">
        <v>45000</v>
      </c>
      <c r="C6">
        <f>SUMIF('Sales Data'!$B$2:$B$21,A6,'Sales Data'!$E$2:$E$21)</f>
        <v>38521</v>
      </c>
      <c r="D6">
        <f>COUNTIF('Sales Data'!$B$2:$B$21,A6)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 Grade</vt:lpstr>
      <vt:lpstr>Sales Data</vt:lpstr>
      <vt:lpstr>Employee Data</vt:lpstr>
      <vt:lpstr>Formula Practice</vt:lpstr>
      <vt:lpstr>Product Price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minaxi</dc:creator>
  <cp:lastModifiedBy>Minaxi Choudhary</cp:lastModifiedBy>
  <dcterms:created xsi:type="dcterms:W3CDTF">2026-10-28T15:40:16Z</dcterms:created>
  <dcterms:modified xsi:type="dcterms:W3CDTF">2026-10-28T16:06:18Z</dcterms:modified>
</cp:coreProperties>
</file>